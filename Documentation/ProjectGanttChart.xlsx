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d.docs.live.net/cabb659577f8f2a6/Documents/UCF/Graduate Studies/Fall 2025/CAP 5415/Course Project/Documentation/"/>
    </mc:Choice>
  </mc:AlternateContent>
  <xr:revisionPtr revIDLastSave="53" documentId="8_{BC6BBFCB-F0CB-48F7-8EAB-1BA0930503B5}" xr6:coauthVersionLast="47" xr6:coauthVersionMax="47" xr10:uidLastSave="{29273F54-A83A-4626-BF62-5D073BAC1677}"/>
  <bookViews>
    <workbookView xWindow="4485" yWindow="3180" windowWidth="21600" windowHeight="11295"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2" i="11" l="1"/>
  <c r="E18" i="11"/>
  <c r="F18" i="11"/>
  <c r="E19" i="11"/>
  <c r="E20" i="11"/>
  <c r="F20" i="11"/>
  <c r="E21" i="11"/>
  <c r="F21" i="11"/>
  <c r="F19" i="11"/>
  <c r="F11" i="11"/>
  <c r="E12" i="11"/>
  <c r="F12" i="11"/>
  <c r="E13" i="11"/>
  <c r="E14" i="11"/>
  <c r="F14" i="11"/>
  <c r="E15" i="11"/>
  <c r="F15" i="11"/>
  <c r="F13" i="11"/>
  <c r="F17" i="11"/>
  <c r="H7" i="11"/>
  <c r="E9" i="11"/>
  <c r="F9" i="11"/>
  <c r="I5" i="11"/>
  <c r="H24" i="11"/>
  <c r="H23" i="11"/>
  <c r="H16" i="11"/>
  <c r="H10" i="11"/>
  <c r="H8" i="11"/>
  <c r="H11" i="11"/>
  <c r="H12" i="11"/>
  <c r="H9" i="11"/>
  <c r="I6" i="11"/>
  <c r="H21" i="11"/>
  <c r="H20" i="11"/>
  <c r="H17" i="11"/>
  <c r="H15" i="11"/>
  <c r="J5" i="11"/>
  <c r="K5" i="11"/>
  <c r="L5" i="11"/>
  <c r="M5" i="11"/>
  <c r="N5" i="11"/>
  <c r="O5" i="11"/>
  <c r="P5" i="11"/>
  <c r="I4" i="11"/>
  <c r="H13" i="11"/>
  <c r="H18" i="11"/>
  <c r="H19" i="11"/>
  <c r="H14" i="11"/>
  <c r="P4" i="11"/>
  <c r="Q5" i="11"/>
  <c r="R5" i="11"/>
  <c r="S5" i="11"/>
  <c r="T5" i="11"/>
  <c r="U5" i="11"/>
  <c r="V5" i="11"/>
  <c r="W5" i="11"/>
  <c r="J6" i="11"/>
  <c r="W4" i="11"/>
  <c r="X5" i="11"/>
  <c r="Y5" i="11"/>
  <c r="Z5" i="11"/>
  <c r="AA5" i="11"/>
  <c r="AB5" i="11"/>
  <c r="AC5" i="11"/>
  <c r="AD5" i="11"/>
  <c r="K6" i="11"/>
  <c r="AE5" i="11"/>
  <c r="AF5" i="11"/>
  <c r="AG5" i="11"/>
  <c r="AH5" i="11"/>
  <c r="AI5" i="11"/>
  <c r="AJ5" i="11"/>
  <c r="AD4" i="11"/>
  <c r="L6" i="11"/>
  <c r="AK5" i="11"/>
  <c r="AL5" i="11"/>
  <c r="AM5" i="11"/>
  <c r="AN5" i="11"/>
  <c r="AO5" i="11"/>
  <c r="AP5" i="11"/>
  <c r="AQ5" i="11"/>
  <c r="M6" i="11"/>
  <c r="AR5" i="11"/>
  <c r="AS5" i="11"/>
  <c r="AK4" i="11"/>
  <c r="N6" i="11"/>
  <c r="AT5" i="11"/>
  <c r="AS6" i="11"/>
  <c r="AR4" i="11"/>
  <c r="O6" i="11"/>
  <c r="AU5" i="11"/>
  <c r="AT6" i="11"/>
  <c r="AV5" i="11"/>
  <c r="AU6" i="11"/>
  <c r="P6" i="11"/>
  <c r="Q6" i="11"/>
  <c r="AW5" i="11"/>
  <c r="AV6" i="11"/>
  <c r="R6" i="11"/>
  <c r="AX5" i="11"/>
  <c r="AY5" i="11"/>
  <c r="AW6" i="11"/>
  <c r="S6" i="11"/>
  <c r="AY6" i="11"/>
  <c r="AZ5" i="11"/>
  <c r="AY4" i="11"/>
  <c r="AX6" i="11"/>
  <c r="T6" i="11"/>
  <c r="BA5" i="11"/>
  <c r="AZ6" i="11"/>
  <c r="U6" i="11"/>
  <c r="BA6" i="11"/>
  <c r="BB5" i="11"/>
  <c r="V6" i="11"/>
  <c r="BB6" i="11"/>
  <c r="BC5" i="11"/>
  <c r="W6" i="11"/>
  <c r="BC6" i="11"/>
  <c r="BD5" i="11"/>
  <c r="X6" i="11"/>
  <c r="BE5" i="11"/>
  <c r="BD6" i="11"/>
  <c r="Y6" i="11"/>
  <c r="BE6" i="11"/>
  <c r="BF5" i="11"/>
  <c r="Z6" i="11"/>
  <c r="BF6" i="11"/>
  <c r="BG5" i="11"/>
  <c r="BF4" i="11"/>
  <c r="AA6" i="11"/>
  <c r="BG6" i="11"/>
  <c r="BH5" i="11"/>
  <c r="AB6" i="11"/>
  <c r="BI5" i="11"/>
  <c r="BH6" i="11"/>
  <c r="AC6" i="11"/>
  <c r="BJ5" i="11"/>
  <c r="BI6" i="11"/>
  <c r="AD6" i="11"/>
  <c r="BK5" i="11"/>
  <c r="BJ6" i="11"/>
  <c r="AE6" i="11"/>
  <c r="BL5" i="11"/>
  <c r="BK6" i="11"/>
  <c r="AF6" i="11"/>
  <c r="BL6" i="11"/>
  <c r="AG6" i="11"/>
  <c r="AH6" i="11"/>
  <c r="AI6" i="11"/>
  <c r="AJ6" i="11"/>
  <c r="AK6" i="11"/>
  <c r="AL6" i="11"/>
  <c r="AM6" i="11"/>
  <c r="AN6" i="11"/>
  <c r="AO6" i="11"/>
  <c r="AP6" i="11"/>
  <c r="AQ6" i="11"/>
  <c r="AR6" i="11"/>
</calcChain>
</file>

<file path=xl/sharedStrings.xml><?xml version="1.0" encoding="utf-8"?>
<sst xmlns="http://schemas.openxmlformats.org/spreadsheetml/2006/main" count="54" uniqueCount="42">
  <si>
    <t>Insert new rows ABOVE this one</t>
  </si>
  <si>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</si>
  <si>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</si>
  <si>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</si>
  <si>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</si>
  <si>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</si>
  <si>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</si>
  <si>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</si>
  <si>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</si>
  <si>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</si>
  <si>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</si>
  <si>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</si>
  <si>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</si>
  <si>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</si>
  <si>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</si>
  <si>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</si>
  <si>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</si>
  <si>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</si>
  <si>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</si>
  <si>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</si>
  <si>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</si>
  <si>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lead</t>
  </si>
  <si>
    <t>Initiation</t>
  </si>
  <si>
    <t>Define goals</t>
  </si>
  <si>
    <t>Execution</t>
  </si>
  <si>
    <t>Project start:</t>
  </si>
  <si>
    <t>Display week:</t>
  </si>
  <si>
    <t>ASSIGNED TO</t>
  </si>
  <si>
    <t>Multi-MNIST Project</t>
  </si>
  <si>
    <t>Report</t>
  </si>
  <si>
    <t>Testing and Data Collection</t>
  </si>
  <si>
    <t>Brandon Nguyen</t>
  </si>
  <si>
    <t>Begin Outline &amp; Structure</t>
  </si>
  <si>
    <t>Custom Architecture</t>
  </si>
  <si>
    <t>ResNet Architecture</t>
  </si>
  <si>
    <t>AlexNet Architecture</t>
  </si>
  <si>
    <t>Dataloader</t>
  </si>
  <si>
    <t>Abstract and Introduction</t>
  </si>
  <si>
    <t>Results and Analysis</t>
  </si>
  <si>
    <t>Design and Implementation</t>
  </si>
  <si>
    <t>Conclusion</t>
  </si>
  <si>
    <t>README (How to Run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</si>
</sst>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3">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15">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7" fontId="21" fillId="10" borderId="18" xfId="0" applyNumberFormat="1" applyFont="1" applyFill="1" applyBorder="1" applyAlignment="1">
      <alignment horizontal="center" vertical="center"/>
    </xf>
    <xf numFmtId="167" fontId="21" fillId="10" borderId="16" xfId="0" applyNumberFormat="1" applyFont="1" applyFill="1" applyBorder="1" applyAlignment="1">
      <alignment horizontal="center" vertical="center"/>
    </xf>
    <xf numFmtId="167" fontId="21" fillId="10" borderId="17" xfId="0" applyNumberFormat="1" applyFont="1" applyFill="1" applyBorder="1" applyAlignment="1">
      <alignment horizontal="center" vertical="center"/>
    </xf>
    <xf numFmtId="0" fontId="22" fillId="2" borderId="15" xfId="0" applyFont="1" applyFill="1" applyBorder="1" applyAlignment="1">
      <alignment horizontal="center" vertical="center" shrinkToFit="1"/>
    </xf>
    <xf numFmtId="0" fontId="22" fillId="2" borderId="12" xfId="0" applyFont="1" applyFill="1" applyBorder="1" applyAlignment="1">
      <alignment horizontal="center" vertical="center" shrinkToFit="1"/>
    </xf>
    <xf numFmtId="0" fontId="22" fillId="2" borderId="13"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5" borderId="0" xfId="0" applyFont="1" applyFill="1" applyAlignment="1">
      <alignment horizontal="left" vertical="center" indent="1"/>
    </xf>
    <xf numFmtId="0" fontId="19" fillId="5" borderId="0" xfId="11" applyFont="1" applyFill="1" applyBorder="1" applyAlignment="1">
      <alignment vertical="center"/>
    </xf>
    <xf numFmtId="9" fontId="1" fillId="5" borderId="0" xfId="2" applyFont="1" applyFill="1" applyBorder="1" applyAlignment="1">
      <alignment horizontal="center" vertical="center"/>
    </xf>
    <xf numFmtId="164" fontId="19" fillId="5" borderId="0" xfId="0" applyNumberFormat="1" applyFont="1" applyFill="1" applyAlignment="1">
      <alignment horizontal="center" vertical="center"/>
    </xf>
    <xf numFmtId="164" fontId="1" fillId="5" borderId="0" xfId="0" applyNumberFormat="1" applyFont="1" applyFill="1" applyAlignment="1">
      <alignment horizontal="center" vertical="center"/>
    </xf>
    <xf numFmtId="0" fontId="4" fillId="0" borderId="0" xfId="0" applyFont="1" applyAlignment="1">
      <alignment vertical="center"/>
    </xf>
    <xf numFmtId="0" fontId="19" fillId="3" borderId="5" xfId="12" applyFont="1" applyFill="1" applyBorder="1">
      <alignment horizontal="left" vertical="center" indent="2"/>
    </xf>
    <xf numFmtId="0" fontId="19" fillId="3" borderId="5" xfId="11" applyFont="1" applyFill="1" applyBorder="1" applyAlignment="1">
      <alignment vertical="center"/>
    </xf>
    <xf numFmtId="9" fontId="1" fillId="3" borderId="5" xfId="2" applyFont="1" applyFill="1" applyBorder="1" applyAlignment="1">
      <alignment horizontal="center" vertical="center"/>
    </xf>
    <xf numFmtId="164" fontId="19" fillId="3" borderId="5" xfId="10" applyFont="1" applyFill="1" applyBorder="1">
      <alignment horizontal="center" vertical="center"/>
    </xf>
    <xf numFmtId="0" fontId="4" fillId="0" borderId="4"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4" fontId="19"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19" fillId="4" borderId="6" xfId="12" applyFont="1" applyFill="1" applyBorder="1">
      <alignment horizontal="left" vertical="center" indent="2"/>
    </xf>
    <xf numFmtId="0" fontId="19" fillId="4" borderId="6" xfId="11" applyFont="1" applyFill="1" applyBorder="1" applyAlignment="1">
      <alignment vertical="center"/>
    </xf>
    <xf numFmtId="9" fontId="1" fillId="4" borderId="6" xfId="2" applyFont="1" applyFill="1" applyBorder="1" applyAlignment="1">
      <alignment horizontal="center" vertical="center"/>
    </xf>
    <xf numFmtId="164" fontId="19" fillId="4" borderId="6" xfId="10" applyFont="1" applyFill="1" applyBorder="1">
      <alignment horizontal="center"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4" fontId="19"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4" fillId="0" borderId="8" xfId="0" applyFont="1" applyBorder="1" applyAlignment="1">
      <alignment vertical="center"/>
    </xf>
    <xf numFmtId="0" fontId="19" fillId="8" borderId="7" xfId="12" applyFont="1" applyFill="1" applyBorder="1">
      <alignment horizontal="left" vertical="center" indent="2"/>
    </xf>
    <xf numFmtId="0" fontId="19" fillId="8" borderId="7" xfId="11" applyFont="1" applyFill="1" applyBorder="1" applyAlignment="1">
      <alignment vertical="center"/>
    </xf>
    <xf numFmtId="9" fontId="1" fillId="8" borderId="7" xfId="2" applyFont="1" applyFill="1" applyBorder="1" applyAlignment="1">
      <alignment horizontal="center" vertical="center"/>
    </xf>
    <xf numFmtId="164" fontId="19" fillId="8" borderId="7" xfId="10" applyFont="1" applyFill="1" applyBorder="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164" fontId="19" fillId="0" borderId="0" xfId="10" applyFont="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4" fontId="25"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9" fillId="8" borderId="0" xfId="12" applyFont="1" applyFill="1" applyBorder="1">
      <alignment horizontal="left" vertical="center" indent="2"/>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4" fontId="19" fillId="8" borderId="0" xfId="10" applyFont="1" applyFill="1" applyBorder="1">
      <alignment horizontal="center" vertical="center"/>
    </xf>
    <xf numFmtId="0" fontId="0" fillId="0" borderId="10" xfId="0" applyBorder="1" applyAlignment="1">
      <alignment vertical="center"/>
    </xf>
    <xf numFmtId="0" fontId="0" fillId="0" borderId="4" xfId="0" applyBorder="1" applyAlignment="1">
      <alignment vertical="center"/>
    </xf>
    <xf numFmtId="0" fontId="0" fillId="0" borderId="0" xfId="0" applyAlignment="1">
      <alignment vertical="center"/>
    </xf>
    <xf numFmtId="0" fontId="0" fillId="0" borderId="20" xfId="0" applyBorder="1" applyAlignment="1">
      <alignment vertical="center"/>
    </xf>
    <xf numFmtId="0" fontId="4" fillId="0" borderId="21" xfId="0" applyFont="1" applyBorder="1" applyAlignment="1">
      <alignment vertical="center"/>
    </xf>
    <xf numFmtId="0" fontId="4" fillId="0" borderId="22" xfId="0" applyFont="1" applyBorder="1" applyAlignment="1">
      <alignment vertical="center"/>
    </xf>
    <xf numFmtId="0" fontId="0" fillId="0" borderId="9" xfId="0" applyBorder="1" applyAlignment="1">
      <alignment vertical="center"/>
    </xf>
    <xf numFmtId="0" fontId="13" fillId="0" borderId="0" xfId="3" applyAlignment="1">
      <alignment wrapText="1"/>
    </xf>
    <xf numFmtId="0" fontId="20" fillId="9" borderId="14" xfId="0" applyFont="1" applyFill="1" applyBorder="1" applyAlignment="1">
      <alignment horizontal="left" vertical="center" indent="1"/>
    </xf>
    <xf numFmtId="0" fontId="4" fillId="2" borderId="19" xfId="0" applyFont="1" applyFill="1" applyBorder="1" applyAlignment="1">
      <alignment horizontal="left" indent="1"/>
    </xf>
    <xf numFmtId="0" fontId="20" fillId="9" borderId="14" xfId="0" applyFont="1" applyFill="1" applyBorder="1" applyAlignment="1">
      <alignment vertical="center"/>
    </xf>
    <xf numFmtId="0" fontId="4" fillId="2" borderId="19" xfId="0" applyFont="1" applyFill="1" applyBorder="1"/>
    <xf numFmtId="0" fontId="20" fillId="9" borderId="14" xfId="0" applyFont="1" applyFill="1" applyBorder="1" applyAlignment="1">
      <alignment horizontal="center" vertical="center"/>
    </xf>
    <xf numFmtId="0" fontId="27" fillId="0" borderId="0" xfId="0" applyFont="1" applyAlignment="1">
      <alignment horizontal="left"/>
    </xf>
    <xf numFmtId="0" fontId="28" fillId="0" borderId="0" xfId="0" applyFont="1"/>
    <xf numFmtId="165" fontId="27" fillId="0" borderId="0" xfId="9" applyFont="1" applyBorder="1" applyAlignment="1">
      <alignment horizontal="left"/>
    </xf>
    <xf numFmtId="0" fontId="26" fillId="0" borderId="0" xfId="8" applyFont="1" applyAlignment="1">
      <alignment horizontal="left"/>
    </xf>
    <xf numFmtId="0" fontId="4" fillId="0" borderId="0" xfId="0" applyFont="1"/>
    <xf numFmtId="166" fontId="19" fillId="2" borderId="11" xfId="0" applyNumberFormat="1" applyFont="1" applyFill="1" applyBorder="1" applyAlignment="1">
      <alignment horizontal="center" vertical="center" wrapText="1"/>
    </xf>
    <xf numFmtId="166" fontId="19" fillId="2" borderId="17" xfId="0" applyNumberFormat="1" applyFont="1" applyFill="1" applyBorder="1" applyAlignment="1">
      <alignment horizontal="center" vertical="center" wrapText="1"/>
    </xf>
    <xf numFmtId="166" fontId="19" fillId="2" borderId="16" xfId="0" applyNumberFormat="1" applyFont="1" applyFill="1" applyBorder="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6">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M27"/>
  <sheetViews>
    <sheetView showGridLines="0" tabSelected="1" showRuler="0" topLeftCell="B1" zoomScaleNormal="100" zoomScalePageLayoutView="70" workbookViewId="0">
      <selection activeCell="D20" sqref="D20"/>
    </sheetView>
  </sheetViews>
  <sheetFormatPr defaultColWidth="8.75" defaultRowHeight="30" customHeight="1" x14ac:dyDescent="0.2"/>
  <cols>
    <col min="1" max="1" width="2.75" style="13" customWidth="1"/>
    <col min="2" max="2" width="26.5" customWidth="1"/>
    <col min="3" max="3" width="16.625" customWidth="1"/>
    <col min="4" max="4" width="10.625" customWidth="1"/>
    <col min="5" max="5" width="10.625" style="2" customWidth="1"/>
    <col min="6" max="6" width="10.625" customWidth="1"/>
    <col min="7" max="7" width="2.75" customWidth="1"/>
    <col min="8" max="8" width="6" hidden="1" customWidth="1"/>
    <col min="9" max="65" width="2.75" customWidth="1"/>
  </cols>
  <sheetData>
    <row r="1" spans="1:64" ht="90" customHeight="1" x14ac:dyDescent="1.1000000000000001">
      <c r="A1" s="14"/>
      <c r="B1" s="82" t="s">
        <v>28</v>
      </c>
      <c r="C1" s="18"/>
      <c r="D1" s="19"/>
      <c r="E1" s="20"/>
      <c r="F1" s="21"/>
      <c r="H1" s="1"/>
      <c r="I1" s="110" t="s">
        <v>25</v>
      </c>
      <c r="J1" s="111"/>
      <c r="K1" s="111"/>
      <c r="L1" s="111"/>
      <c r="M1" s="111"/>
      <c r="N1" s="111"/>
      <c r="O1" s="111"/>
      <c r="P1" s="24"/>
      <c r="Q1" s="109">
        <v>45986</v>
      </c>
      <c r="R1" s="108"/>
      <c r="S1" s="108"/>
      <c r="T1" s="108"/>
      <c r="U1" s="108"/>
      <c r="V1" s="108"/>
      <c r="W1" s="108"/>
      <c r="X1" s="108"/>
      <c r="Y1" s="108"/>
      <c r="Z1" s="108"/>
    </row>
    <row r="2" spans="1:64" ht="30" customHeight="1" x14ac:dyDescent="0.5">
      <c r="B2" s="80"/>
      <c r="C2" s="81" t="s">
        <v>21</v>
      </c>
      <c r="D2" s="22"/>
      <c r="E2" s="23"/>
      <c r="F2" s="22"/>
      <c r="I2" s="110" t="s">
        <v>26</v>
      </c>
      <c r="J2" s="111"/>
      <c r="K2" s="111"/>
      <c r="L2" s="111"/>
      <c r="M2" s="111"/>
      <c r="N2" s="111"/>
      <c r="O2" s="111"/>
      <c r="P2" s="24"/>
      <c r="Q2" s="107">
        <v>1</v>
      </c>
      <c r="R2" s="108"/>
      <c r="S2" s="108"/>
      <c r="T2" s="108"/>
      <c r="U2" s="108"/>
      <c r="V2" s="108"/>
      <c r="W2" s="108"/>
      <c r="X2" s="108"/>
      <c r="Y2" s="108"/>
      <c r="Z2" s="108"/>
    </row>
    <row r="3" spans="1:64" s="26" customFormat="1" ht="30" customHeight="1" x14ac:dyDescent="0.25">
      <c r="A3" s="13"/>
      <c r="B3" s="25" t="s">
        <v>8</v>
      </c>
      <c r="D3" s="27"/>
      <c r="E3" s="28"/>
    </row>
    <row r="4" spans="1:64" s="26" customFormat="1" ht="30" customHeight="1" x14ac:dyDescent="0.2">
      <c r="A4" s="14"/>
      <c r="B4" s="29" t="s">
        <v>13</v>
      </c>
      <c r="E4" s="30"/>
      <c r="I4" s="114">
        <f>I5</f>
        <v>45985</v>
      </c>
      <c r="J4" s="112"/>
      <c r="K4" s="112"/>
      <c r="L4" s="112"/>
      <c r="M4" s="112"/>
      <c r="N4" s="112"/>
      <c r="O4" s="112"/>
      <c r="P4" s="112">
        <f>P5</f>
        <v>45992</v>
      </c>
      <c r="Q4" s="112"/>
      <c r="R4" s="112"/>
      <c r="S4" s="112"/>
      <c r="T4" s="112"/>
      <c r="U4" s="112"/>
      <c r="V4" s="112"/>
      <c r="W4" s="112">
        <f>W5</f>
        <v>45999</v>
      </c>
      <c r="X4" s="112"/>
      <c r="Y4" s="112"/>
      <c r="Z4" s="112"/>
      <c r="AA4" s="112"/>
      <c r="AB4" s="112"/>
      <c r="AC4" s="112"/>
      <c r="AD4" s="112">
        <f>AD5</f>
        <v>46006</v>
      </c>
      <c r="AE4" s="112"/>
      <c r="AF4" s="112"/>
      <c r="AG4" s="112"/>
      <c r="AH4" s="112"/>
      <c r="AI4" s="112"/>
      <c r="AJ4" s="112"/>
      <c r="AK4" s="112">
        <f>AK5</f>
        <v>46013</v>
      </c>
      <c r="AL4" s="112"/>
      <c r="AM4" s="112"/>
      <c r="AN4" s="112"/>
      <c r="AO4" s="112"/>
      <c r="AP4" s="112"/>
      <c r="AQ4" s="112"/>
      <c r="AR4" s="112">
        <f>AR5</f>
        <v>46020</v>
      </c>
      <c r="AS4" s="112"/>
      <c r="AT4" s="112"/>
      <c r="AU4" s="112"/>
      <c r="AV4" s="112"/>
      <c r="AW4" s="112"/>
      <c r="AX4" s="112"/>
      <c r="AY4" s="112">
        <f>AY5</f>
        <v>46027</v>
      </c>
      <c r="AZ4" s="112"/>
      <c r="BA4" s="112"/>
      <c r="BB4" s="112"/>
      <c r="BC4" s="112"/>
      <c r="BD4" s="112"/>
      <c r="BE4" s="112"/>
      <c r="BF4" s="112">
        <f>BF5</f>
        <v>46034</v>
      </c>
      <c r="BG4" s="112"/>
      <c r="BH4" s="112"/>
      <c r="BI4" s="112"/>
      <c r="BJ4" s="112"/>
      <c r="BK4" s="112"/>
      <c r="BL4" s="113"/>
    </row>
    <row r="5" spans="1:64" s="26" customFormat="1" ht="15" customHeight="1" x14ac:dyDescent="0.2">
      <c r="A5" s="101"/>
      <c r="B5" s="102" t="s">
        <v>5</v>
      </c>
      <c r="C5" s="104" t="s">
        <v>27</v>
      </c>
      <c r="D5" s="106" t="s">
        <v>1</v>
      </c>
      <c r="E5" s="106" t="s">
        <v>3</v>
      </c>
      <c r="F5" s="106" t="s">
        <v>4</v>
      </c>
      <c r="I5" s="31">
        <f>Project_Start-WEEKDAY(Project_Start,1)+2+7*(Display_Week-1)</f>
        <v>45985</v>
      </c>
      <c r="J5" s="31">
        <f>I5+1</f>
        <v>45986</v>
      </c>
      <c r="K5" s="31">
        <f t="shared" ref="K5:AX5" si="0">J5+1</f>
        <v>45987</v>
      </c>
      <c r="L5" s="31">
        <f t="shared" si="0"/>
        <v>45988</v>
      </c>
      <c r="M5" s="31">
        <f t="shared" si="0"/>
        <v>45989</v>
      </c>
      <c r="N5" s="31">
        <f t="shared" si="0"/>
        <v>45990</v>
      </c>
      <c r="O5" s="32">
        <f t="shared" si="0"/>
        <v>45991</v>
      </c>
      <c r="P5" s="33">
        <f>O5+1</f>
        <v>45992</v>
      </c>
      <c r="Q5" s="31">
        <f>P5+1</f>
        <v>45993</v>
      </c>
      <c r="R5" s="31">
        <f t="shared" si="0"/>
        <v>45994</v>
      </c>
      <c r="S5" s="31">
        <f t="shared" si="0"/>
        <v>45995</v>
      </c>
      <c r="T5" s="31">
        <f t="shared" si="0"/>
        <v>45996</v>
      </c>
      <c r="U5" s="31">
        <f t="shared" si="0"/>
        <v>45997</v>
      </c>
      <c r="V5" s="32">
        <f t="shared" si="0"/>
        <v>45998</v>
      </c>
      <c r="W5" s="33">
        <f>V5+1</f>
        <v>45999</v>
      </c>
      <c r="X5" s="31">
        <f>W5+1</f>
        <v>46000</v>
      </c>
      <c r="Y5" s="31">
        <f t="shared" si="0"/>
        <v>46001</v>
      </c>
      <c r="Z5" s="31">
        <f t="shared" si="0"/>
        <v>46002</v>
      </c>
      <c r="AA5" s="31">
        <f t="shared" si="0"/>
        <v>46003</v>
      </c>
      <c r="AB5" s="31">
        <f t="shared" si="0"/>
        <v>46004</v>
      </c>
      <c r="AC5" s="32">
        <f t="shared" si="0"/>
        <v>46005</v>
      </c>
      <c r="AD5" s="33">
        <f>AC5+1</f>
        <v>46006</v>
      </c>
      <c r="AE5" s="31">
        <f>AD5+1</f>
        <v>46007</v>
      </c>
      <c r="AF5" s="31">
        <f t="shared" si="0"/>
        <v>46008</v>
      </c>
      <c r="AG5" s="31">
        <f t="shared" si="0"/>
        <v>46009</v>
      </c>
      <c r="AH5" s="31">
        <f t="shared" si="0"/>
        <v>46010</v>
      </c>
      <c r="AI5" s="31">
        <f t="shared" si="0"/>
        <v>46011</v>
      </c>
      <c r="AJ5" s="32">
        <f t="shared" si="0"/>
        <v>46012</v>
      </c>
      <c r="AK5" s="33">
        <f>AJ5+1</f>
        <v>46013</v>
      </c>
      <c r="AL5" s="31">
        <f>AK5+1</f>
        <v>46014</v>
      </c>
      <c r="AM5" s="31">
        <f t="shared" si="0"/>
        <v>46015</v>
      </c>
      <c r="AN5" s="31">
        <f t="shared" si="0"/>
        <v>46016</v>
      </c>
      <c r="AO5" s="31">
        <f t="shared" si="0"/>
        <v>46017</v>
      </c>
      <c r="AP5" s="31">
        <f t="shared" si="0"/>
        <v>46018</v>
      </c>
      <c r="AQ5" s="32">
        <f t="shared" si="0"/>
        <v>46019</v>
      </c>
      <c r="AR5" s="33">
        <f>AQ5+1</f>
        <v>46020</v>
      </c>
      <c r="AS5" s="31">
        <f>AR5+1</f>
        <v>46021</v>
      </c>
      <c r="AT5" s="31">
        <f t="shared" si="0"/>
        <v>46022</v>
      </c>
      <c r="AU5" s="31">
        <f t="shared" si="0"/>
        <v>46023</v>
      </c>
      <c r="AV5" s="31">
        <f t="shared" si="0"/>
        <v>46024</v>
      </c>
      <c r="AW5" s="31">
        <f t="shared" si="0"/>
        <v>46025</v>
      </c>
      <c r="AX5" s="32">
        <f t="shared" si="0"/>
        <v>46026</v>
      </c>
      <c r="AY5" s="33">
        <f>AX5+1</f>
        <v>46027</v>
      </c>
      <c r="AZ5" s="31">
        <f>AY5+1</f>
        <v>46028</v>
      </c>
      <c r="BA5" s="31">
        <f t="shared" ref="BA5:BE5" si="1">AZ5+1</f>
        <v>46029</v>
      </c>
      <c r="BB5" s="31">
        <f t="shared" si="1"/>
        <v>46030</v>
      </c>
      <c r="BC5" s="31">
        <f t="shared" si="1"/>
        <v>46031</v>
      </c>
      <c r="BD5" s="31">
        <f t="shared" si="1"/>
        <v>46032</v>
      </c>
      <c r="BE5" s="32">
        <f t="shared" si="1"/>
        <v>46033</v>
      </c>
      <c r="BF5" s="33">
        <f>BE5+1</f>
        <v>46034</v>
      </c>
      <c r="BG5" s="31">
        <f>BF5+1</f>
        <v>46035</v>
      </c>
      <c r="BH5" s="31">
        <f t="shared" ref="BH5:BL5" si="2">BG5+1</f>
        <v>46036</v>
      </c>
      <c r="BI5" s="31">
        <f t="shared" si="2"/>
        <v>46037</v>
      </c>
      <c r="BJ5" s="31">
        <f t="shared" si="2"/>
        <v>46038</v>
      </c>
      <c r="BK5" s="31">
        <f t="shared" si="2"/>
        <v>46039</v>
      </c>
      <c r="BL5" s="31">
        <f t="shared" si="2"/>
        <v>46040</v>
      </c>
    </row>
    <row r="6" spans="1:64" s="26" customFormat="1" ht="15" customHeight="1" thickBot="1" x14ac:dyDescent="0.25">
      <c r="A6" s="101"/>
      <c r="B6" s="103"/>
      <c r="C6" s="105"/>
      <c r="D6" s="105"/>
      <c r="E6" s="105"/>
      <c r="F6" s="105"/>
      <c r="I6" s="34" t="str">
        <f t="shared" ref="I6:AN6" si="3">LEFT(TEXT(I5,"ddd"),1)</f>
        <v>M</v>
      </c>
      <c r="J6" s="35" t="str">
        <f t="shared" si="3"/>
        <v>T</v>
      </c>
      <c r="K6" s="35" t="str">
        <f t="shared" si="3"/>
        <v>W</v>
      </c>
      <c r="L6" s="35" t="str">
        <f t="shared" si="3"/>
        <v>T</v>
      </c>
      <c r="M6" s="35" t="str">
        <f t="shared" si="3"/>
        <v>F</v>
      </c>
      <c r="N6" s="35" t="str">
        <f t="shared" si="3"/>
        <v>S</v>
      </c>
      <c r="O6" s="35" t="str">
        <f t="shared" si="3"/>
        <v>S</v>
      </c>
      <c r="P6" s="35" t="str">
        <f t="shared" si="3"/>
        <v>M</v>
      </c>
      <c r="Q6" s="35" t="str">
        <f t="shared" si="3"/>
        <v>T</v>
      </c>
      <c r="R6" s="35" t="str">
        <f t="shared" si="3"/>
        <v>W</v>
      </c>
      <c r="S6" s="35" t="str">
        <f t="shared" si="3"/>
        <v>T</v>
      </c>
      <c r="T6" s="35" t="str">
        <f t="shared" si="3"/>
        <v>F</v>
      </c>
      <c r="U6" s="35" t="str">
        <f t="shared" si="3"/>
        <v>S</v>
      </c>
      <c r="V6" s="35" t="str">
        <f t="shared" si="3"/>
        <v>S</v>
      </c>
      <c r="W6" s="35" t="str">
        <f t="shared" si="3"/>
        <v>M</v>
      </c>
      <c r="X6" s="35" t="str">
        <f t="shared" si="3"/>
        <v>T</v>
      </c>
      <c r="Y6" s="35" t="str">
        <f t="shared" si="3"/>
        <v>W</v>
      </c>
      <c r="Z6" s="35" t="str">
        <f t="shared" si="3"/>
        <v>T</v>
      </c>
      <c r="AA6" s="35" t="str">
        <f t="shared" si="3"/>
        <v>F</v>
      </c>
      <c r="AB6" s="35" t="str">
        <f t="shared" si="3"/>
        <v>S</v>
      </c>
      <c r="AC6" s="35" t="str">
        <f t="shared" si="3"/>
        <v>S</v>
      </c>
      <c r="AD6" s="35" t="str">
        <f t="shared" si="3"/>
        <v>M</v>
      </c>
      <c r="AE6" s="35" t="str">
        <f t="shared" si="3"/>
        <v>T</v>
      </c>
      <c r="AF6" s="35" t="str">
        <f t="shared" si="3"/>
        <v>W</v>
      </c>
      <c r="AG6" s="35" t="str">
        <f t="shared" si="3"/>
        <v>T</v>
      </c>
      <c r="AH6" s="35" t="str">
        <f t="shared" si="3"/>
        <v>F</v>
      </c>
      <c r="AI6" s="35" t="str">
        <f t="shared" si="3"/>
        <v>S</v>
      </c>
      <c r="AJ6" s="35" t="str">
        <f t="shared" si="3"/>
        <v>S</v>
      </c>
      <c r="AK6" s="35" t="str">
        <f t="shared" si="3"/>
        <v>M</v>
      </c>
      <c r="AL6" s="35" t="str">
        <f t="shared" si="3"/>
        <v>T</v>
      </c>
      <c r="AM6" s="35" t="str">
        <f t="shared" si="3"/>
        <v>W</v>
      </c>
      <c r="AN6" s="35" t="str">
        <f t="shared" si="3"/>
        <v>T</v>
      </c>
      <c r="AO6" s="35" t="str">
        <f t="shared" ref="AO6:BL6" si="4">LEFT(TEXT(AO5,"ddd"),1)</f>
        <v>F</v>
      </c>
      <c r="AP6" s="35" t="str">
        <f t="shared" si="4"/>
        <v>S</v>
      </c>
      <c r="AQ6" s="35" t="str">
        <f t="shared" si="4"/>
        <v>S</v>
      </c>
      <c r="AR6" s="35" t="str">
        <f t="shared" si="4"/>
        <v>M</v>
      </c>
      <c r="AS6" s="35" t="str">
        <f t="shared" si="4"/>
        <v>T</v>
      </c>
      <c r="AT6" s="35" t="str">
        <f t="shared" si="4"/>
        <v>W</v>
      </c>
      <c r="AU6" s="35" t="str">
        <f t="shared" si="4"/>
        <v>T</v>
      </c>
      <c r="AV6" s="35" t="str">
        <f t="shared" si="4"/>
        <v>F</v>
      </c>
      <c r="AW6" s="35" t="str">
        <f t="shared" si="4"/>
        <v>S</v>
      </c>
      <c r="AX6" s="35" t="str">
        <f t="shared" si="4"/>
        <v>S</v>
      </c>
      <c r="AY6" s="35" t="str">
        <f t="shared" si="4"/>
        <v>M</v>
      </c>
      <c r="AZ6" s="35" t="str">
        <f t="shared" si="4"/>
        <v>T</v>
      </c>
      <c r="BA6" s="35" t="str">
        <f t="shared" si="4"/>
        <v>W</v>
      </c>
      <c r="BB6" s="35" t="str">
        <f t="shared" si="4"/>
        <v>T</v>
      </c>
      <c r="BC6" s="35" t="str">
        <f t="shared" si="4"/>
        <v>F</v>
      </c>
      <c r="BD6" s="35" t="str">
        <f t="shared" si="4"/>
        <v>S</v>
      </c>
      <c r="BE6" s="35" t="str">
        <f t="shared" si="4"/>
        <v>S</v>
      </c>
      <c r="BF6" s="35" t="str">
        <f t="shared" si="4"/>
        <v>M</v>
      </c>
      <c r="BG6" s="35" t="str">
        <f t="shared" si="4"/>
        <v>T</v>
      </c>
      <c r="BH6" s="35" t="str">
        <f t="shared" si="4"/>
        <v>W</v>
      </c>
      <c r="BI6" s="35" t="str">
        <f t="shared" si="4"/>
        <v>T</v>
      </c>
      <c r="BJ6" s="35" t="str">
        <f t="shared" si="4"/>
        <v>F</v>
      </c>
      <c r="BK6" s="35" t="str">
        <f t="shared" si="4"/>
        <v>S</v>
      </c>
      <c r="BL6" s="36" t="str">
        <f t="shared" si="4"/>
        <v>S</v>
      </c>
    </row>
    <row r="7" spans="1:64" s="26" customFormat="1" ht="30" hidden="1" customHeight="1" thickBot="1" x14ac:dyDescent="0.25">
      <c r="A7" s="13" t="s">
        <v>20</v>
      </c>
      <c r="B7" s="37"/>
      <c r="C7" s="38"/>
      <c r="D7" s="37"/>
      <c r="E7" s="37"/>
      <c r="F7" s="37"/>
      <c r="H7" s="26" t="str">
        <f>IF(OR(ISBLANK(task_start),ISBLANK(task_end)),"",task_end-task_start+1)</f>
        <v/>
      </c>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row>
    <row r="8" spans="1:64" s="45" customFormat="1" ht="30" customHeight="1" thickBot="1" x14ac:dyDescent="0.25">
      <c r="A8" s="14"/>
      <c r="B8" s="40" t="s">
        <v>22</v>
      </c>
      <c r="C8" s="41"/>
      <c r="D8" s="42"/>
      <c r="E8" s="43"/>
      <c r="F8" s="44"/>
      <c r="G8" s="17"/>
      <c r="H8" s="5" t="str">
        <f t="shared" ref="H8:H24" si="5">IF(OR(ISBLANK(task_start),ISBLANK(task_end)),"",task_end-task_start+1)</f>
        <v/>
      </c>
      <c r="I8" s="94"/>
      <c r="J8" s="94"/>
      <c r="K8" s="94"/>
      <c r="L8" s="94"/>
      <c r="M8" s="94"/>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94"/>
      <c r="BC8" s="94"/>
      <c r="BD8" s="94"/>
      <c r="BE8" s="94"/>
      <c r="BF8" s="94"/>
      <c r="BG8" s="94"/>
      <c r="BH8" s="94"/>
      <c r="BI8" s="94"/>
      <c r="BJ8" s="94"/>
      <c r="BK8" s="94"/>
      <c r="BL8" s="94"/>
    </row>
    <row r="9" spans="1:64" s="45" customFormat="1" ht="30" customHeight="1" thickBot="1" x14ac:dyDescent="0.25">
      <c r="A9" s="14"/>
      <c r="B9" s="46" t="s">
        <v>23</v>
      </c>
      <c r="C9" s="47" t="s">
        <v>31</v>
      </c>
      <c r="D9" s="48">
        <v>1</v>
      </c>
      <c r="E9" s="49">
        <f>Project_Start</f>
        <v>45986</v>
      </c>
      <c r="F9" s="49">
        <f>E9+1</f>
        <v>45987</v>
      </c>
      <c r="G9" s="17"/>
      <c r="H9" s="5">
        <f t="shared" si="5"/>
        <v>2</v>
      </c>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99"/>
      <c r="AN9" s="99"/>
      <c r="AO9" s="99"/>
      <c r="AP9" s="99"/>
      <c r="AQ9" s="99"/>
      <c r="AR9" s="99"/>
      <c r="AS9" s="99"/>
      <c r="AT9" s="99"/>
      <c r="AU9" s="99"/>
      <c r="AV9" s="99"/>
      <c r="AW9" s="99"/>
      <c r="AX9" s="99"/>
      <c r="AY9" s="99"/>
      <c r="AZ9" s="99"/>
      <c r="BA9" s="99"/>
      <c r="BB9" s="99"/>
      <c r="BC9" s="99"/>
      <c r="BD9" s="99"/>
      <c r="BE9" s="99"/>
      <c r="BF9" s="99"/>
      <c r="BG9" s="99"/>
      <c r="BH9" s="99"/>
      <c r="BI9" s="99"/>
      <c r="BJ9" s="99"/>
      <c r="BK9" s="99"/>
      <c r="BL9" s="99"/>
    </row>
    <row r="10" spans="1:64" s="45" customFormat="1" ht="30" customHeight="1" thickBot="1" x14ac:dyDescent="0.25">
      <c r="A10" s="13"/>
      <c r="B10" s="51" t="s">
        <v>24</v>
      </c>
      <c r="C10" s="52"/>
      <c r="D10" s="53"/>
      <c r="E10" s="54"/>
      <c r="F10" s="55"/>
      <c r="G10" s="17"/>
      <c r="H10" s="5" t="str">
        <f t="shared" si="5"/>
        <v/>
      </c>
      <c r="I10" s="100"/>
      <c r="J10" s="100"/>
      <c r="K10" s="100"/>
      <c r="L10" s="100"/>
      <c r="M10" s="100"/>
      <c r="N10" s="100"/>
      <c r="O10" s="100"/>
      <c r="P10" s="100"/>
      <c r="Q10" s="100"/>
      <c r="R10" s="100"/>
      <c r="S10" s="100"/>
      <c r="T10" s="100"/>
      <c r="U10" s="100"/>
      <c r="V10" s="100"/>
      <c r="W10" s="100"/>
      <c r="X10" s="100"/>
      <c r="Y10" s="100"/>
      <c r="Z10" s="100"/>
      <c r="AA10" s="100"/>
      <c r="AB10" s="100"/>
      <c r="AC10" s="100"/>
      <c r="AD10" s="100"/>
      <c r="AE10" s="100"/>
      <c r="AF10" s="100"/>
      <c r="AG10" s="100"/>
      <c r="AH10" s="100"/>
      <c r="AI10" s="100"/>
      <c r="AJ10" s="100"/>
      <c r="AK10" s="100"/>
      <c r="AL10" s="100"/>
      <c r="AM10" s="100"/>
      <c r="AN10" s="100"/>
      <c r="AO10" s="100"/>
      <c r="AP10" s="100"/>
      <c r="AQ10" s="100"/>
      <c r="AR10" s="100"/>
      <c r="AS10" s="100"/>
      <c r="AT10" s="100"/>
      <c r="AU10" s="100"/>
      <c r="AV10" s="100"/>
      <c r="AW10" s="100"/>
      <c r="AX10" s="100"/>
      <c r="AY10" s="100"/>
      <c r="AZ10" s="100"/>
      <c r="BA10" s="100"/>
      <c r="BB10" s="100"/>
      <c r="BC10" s="100"/>
      <c r="BD10" s="100"/>
      <c r="BE10" s="100"/>
      <c r="BF10" s="100"/>
      <c r="BG10" s="100"/>
      <c r="BH10" s="100"/>
      <c r="BI10" s="100"/>
      <c r="BJ10" s="100"/>
      <c r="BK10" s="100"/>
      <c r="BL10" s="100"/>
    </row>
    <row r="11" spans="1:64" s="45" customFormat="1" ht="30" customHeight="1" thickBot="1" x14ac:dyDescent="0.25">
      <c r="A11" s="13"/>
      <c r="B11" s="56" t="s">
        <v>36</v>
      </c>
      <c r="C11" s="57" t="s">
        <v>31</v>
      </c>
      <c r="D11" s="58">
        <v>1</v>
      </c>
      <c r="E11" s="59">
        <v>45986</v>
      </c>
      <c r="F11" s="59">
        <f>E11+1</f>
        <v>45987</v>
      </c>
      <c r="G11" s="17"/>
      <c r="H11" s="5">
        <f t="shared" si="5"/>
        <v>2</v>
      </c>
      <c r="I11" s="98"/>
      <c r="J11" s="98"/>
      <c r="K11" s="98"/>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row>
    <row r="12" spans="1:64" s="45" customFormat="1" ht="30" customHeight="1" thickBot="1" x14ac:dyDescent="0.25">
      <c r="A12" s="13"/>
      <c r="B12" s="56" t="s">
        <v>33</v>
      </c>
      <c r="C12" s="57" t="s">
        <v>31</v>
      </c>
      <c r="D12" s="58">
        <v>1</v>
      </c>
      <c r="E12" s="59">
        <f>F11+1</f>
        <v>45988</v>
      </c>
      <c r="F12" s="59">
        <f>E12+1</f>
        <v>45989</v>
      </c>
      <c r="G12" s="17"/>
      <c r="H12" s="5">
        <f t="shared" si="5"/>
        <v>2</v>
      </c>
      <c r="I12" s="50"/>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row>
    <row r="13" spans="1:64" s="45" customFormat="1" ht="30" customHeight="1" thickBot="1" x14ac:dyDescent="0.25">
      <c r="A13" s="13"/>
      <c r="B13" s="56" t="s">
        <v>35</v>
      </c>
      <c r="C13" s="57" t="s">
        <v>31</v>
      </c>
      <c r="D13" s="58">
        <v>1</v>
      </c>
      <c r="E13" s="59">
        <f>E12+1</f>
        <v>45989</v>
      </c>
      <c r="F13" s="59">
        <f>E13+1</f>
        <v>45990</v>
      </c>
      <c r="G13" s="17"/>
      <c r="H13" s="5">
        <f t="shared" si="5"/>
        <v>2</v>
      </c>
      <c r="I13" s="50"/>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row>
    <row r="14" spans="1:64" s="45" customFormat="1" ht="30" customHeight="1" thickBot="1" x14ac:dyDescent="0.25">
      <c r="A14" s="13"/>
      <c r="B14" s="56" t="s">
        <v>34</v>
      </c>
      <c r="C14" s="57" t="s">
        <v>31</v>
      </c>
      <c r="D14" s="58">
        <v>1</v>
      </c>
      <c r="E14" s="59">
        <f>E13</f>
        <v>45989</v>
      </c>
      <c r="F14" s="59">
        <f>E14+1</f>
        <v>45990</v>
      </c>
      <c r="G14" s="17"/>
      <c r="H14" s="5">
        <f t="shared" si="5"/>
        <v>2</v>
      </c>
      <c r="I14" s="50"/>
      <c r="J14" s="50"/>
      <c r="K14" s="50"/>
      <c r="L14" s="50"/>
      <c r="M14" s="50"/>
      <c r="N14" s="50"/>
      <c r="O14" s="50"/>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50"/>
      <c r="AO14" s="50"/>
      <c r="AP14" s="50"/>
      <c r="AQ14" s="50"/>
      <c r="AR14" s="50"/>
      <c r="AS14" s="50"/>
      <c r="AT14" s="50"/>
      <c r="AU14" s="50"/>
      <c r="AV14" s="50"/>
      <c r="AW14" s="50"/>
      <c r="AX14" s="50"/>
      <c r="AY14" s="50"/>
      <c r="AZ14" s="50"/>
      <c r="BA14" s="50"/>
      <c r="BB14" s="50"/>
      <c r="BC14" s="50"/>
      <c r="BD14" s="50"/>
      <c r="BE14" s="50"/>
      <c r="BF14" s="50"/>
      <c r="BG14" s="50"/>
      <c r="BH14" s="50"/>
      <c r="BI14" s="50"/>
      <c r="BJ14" s="50"/>
      <c r="BK14" s="50"/>
      <c r="BL14" s="50"/>
    </row>
    <row r="15" spans="1:64" s="45" customFormat="1" ht="30" customHeight="1" thickBot="1" x14ac:dyDescent="0.25">
      <c r="A15" s="13"/>
      <c r="B15" s="56" t="s">
        <v>30</v>
      </c>
      <c r="C15" s="57" t="s">
        <v>31</v>
      </c>
      <c r="D15" s="58">
        <v>1</v>
      </c>
      <c r="E15" s="59">
        <f>F14+1</f>
        <v>45991</v>
      </c>
      <c r="F15" s="59">
        <f>E15+2</f>
        <v>45993</v>
      </c>
      <c r="G15" s="17"/>
      <c r="H15" s="5">
        <f t="shared" si="5"/>
        <v>3</v>
      </c>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row>
    <row r="16" spans="1:64" s="45" customFormat="1" ht="30" customHeight="1" thickBot="1" x14ac:dyDescent="0.25">
      <c r="A16" s="13"/>
      <c r="B16" s="60" t="s">
        <v>29</v>
      </c>
      <c r="C16" s="61"/>
      <c r="D16" s="62"/>
      <c r="E16" s="63"/>
      <c r="F16" s="64"/>
      <c r="G16" s="17"/>
      <c r="H16" s="5" t="str">
        <f t="shared" si="5"/>
        <v/>
      </c>
      <c r="I16" s="65"/>
      <c r="J16" s="65"/>
      <c r="K16" s="65"/>
      <c r="L16" s="65"/>
      <c r="M16" s="65"/>
      <c r="N16" s="65"/>
      <c r="O16" s="65"/>
      <c r="P16" s="65"/>
      <c r="Q16" s="65"/>
      <c r="R16" s="65"/>
      <c r="S16" s="65"/>
      <c r="T16" s="65"/>
      <c r="U16" s="65"/>
      <c r="V16" s="65"/>
      <c r="W16" s="65"/>
      <c r="X16" s="65"/>
      <c r="Y16" s="65"/>
      <c r="Z16" s="65"/>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c r="AY16" s="65"/>
      <c r="AZ16" s="65"/>
      <c r="BA16" s="65"/>
      <c r="BB16" s="65"/>
      <c r="BC16" s="65"/>
      <c r="BD16" s="65"/>
      <c r="BE16" s="65"/>
      <c r="BF16" s="65"/>
      <c r="BG16" s="65"/>
      <c r="BH16" s="65"/>
      <c r="BI16" s="65"/>
      <c r="BJ16" s="65"/>
      <c r="BK16" s="65"/>
      <c r="BL16" s="65"/>
    </row>
    <row r="17" spans="1:65" s="45" customFormat="1" ht="30" customHeight="1" thickBot="1" x14ac:dyDescent="0.25">
      <c r="A17" s="13"/>
      <c r="B17" s="66" t="s">
        <v>32</v>
      </c>
      <c r="C17" s="67" t="s">
        <v>31</v>
      </c>
      <c r="D17" s="68">
        <v>1</v>
      </c>
      <c r="E17" s="69">
        <v>45992</v>
      </c>
      <c r="F17" s="69">
        <f t="shared" ref="F17:F22" si="6">E17+1</f>
        <v>45993</v>
      </c>
      <c r="G17" s="17"/>
      <c r="H17" s="5">
        <f t="shared" si="5"/>
        <v>2</v>
      </c>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row>
    <row r="18" spans="1:65" s="45" customFormat="1" ht="30" customHeight="1" thickBot="1" x14ac:dyDescent="0.25">
      <c r="A18" s="13"/>
      <c r="B18" s="66" t="s">
        <v>37</v>
      </c>
      <c r="C18" s="67" t="s">
        <v>31</v>
      </c>
      <c r="D18" s="68">
        <v>1</v>
      </c>
      <c r="E18" s="69">
        <f>E17</f>
        <v>45992</v>
      </c>
      <c r="F18" s="69">
        <f t="shared" si="6"/>
        <v>45993</v>
      </c>
      <c r="G18" s="17"/>
      <c r="H18" s="5">
        <f t="shared" si="5"/>
        <v>2</v>
      </c>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row>
    <row r="19" spans="1:65" s="45" customFormat="1" ht="30" customHeight="1" thickBot="1" x14ac:dyDescent="0.25">
      <c r="A19" s="13"/>
      <c r="B19" s="66" t="s">
        <v>39</v>
      </c>
      <c r="C19" s="67" t="s">
        <v>31</v>
      </c>
      <c r="D19" s="68">
        <v>1</v>
      </c>
      <c r="E19" s="69">
        <f>F18</f>
        <v>45993</v>
      </c>
      <c r="F19" s="69">
        <f t="shared" si="6"/>
        <v>45994</v>
      </c>
      <c r="G19" s="17"/>
      <c r="H19" s="5">
        <f t="shared" si="5"/>
        <v>2</v>
      </c>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row>
    <row r="20" spans="1:65" s="45" customFormat="1" ht="30" customHeight="1" thickBot="1" x14ac:dyDescent="0.25">
      <c r="A20" s="13"/>
      <c r="B20" s="66" t="s">
        <v>38</v>
      </c>
      <c r="C20" s="67" t="s">
        <v>31</v>
      </c>
      <c r="D20" s="68">
        <v>1</v>
      </c>
      <c r="E20" s="69">
        <f>E19</f>
        <v>45993</v>
      </c>
      <c r="F20" s="69">
        <f t="shared" si="6"/>
        <v>45994</v>
      </c>
      <c r="G20" s="17"/>
      <c r="H20" s="5">
        <f t="shared" si="5"/>
        <v>2</v>
      </c>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row>
    <row r="21" spans="1:65" s="45" customFormat="1" ht="30" customHeight="1" thickBot="1" x14ac:dyDescent="0.25">
      <c r="A21" s="13"/>
      <c r="B21" s="66" t="s">
        <v>40</v>
      </c>
      <c r="C21" s="67" t="s">
        <v>31</v>
      </c>
      <c r="D21" s="68">
        <v>1</v>
      </c>
      <c r="E21" s="69">
        <f>F20</f>
        <v>45994</v>
      </c>
      <c r="F21" s="69">
        <f t="shared" si="6"/>
        <v>45995</v>
      </c>
      <c r="G21" s="17"/>
      <c r="H21" s="5">
        <f t="shared" si="5"/>
        <v>2</v>
      </c>
      <c r="I21" s="97"/>
      <c r="J21" s="97"/>
      <c r="K21" s="97"/>
      <c r="L21" s="97"/>
      <c r="M21" s="97"/>
      <c r="N21" s="97"/>
      <c r="O21" s="97"/>
      <c r="P21" s="97"/>
      <c r="Q21" s="97"/>
      <c r="R21" s="97"/>
      <c r="S21" s="97"/>
      <c r="T21" s="97"/>
      <c r="U21" s="97"/>
      <c r="V21" s="97"/>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6"/>
    </row>
    <row r="22" spans="1:65" s="45" customFormat="1" ht="30" customHeight="1" thickBot="1" x14ac:dyDescent="0.25">
      <c r="A22" s="13"/>
      <c r="B22" s="90" t="s">
        <v>41</v>
      </c>
      <c r="C22" s="91" t="s">
        <v>31</v>
      </c>
      <c r="D22" s="92">
        <v>1</v>
      </c>
      <c r="E22" s="93">
        <v>45994</v>
      </c>
      <c r="F22" s="93">
        <f t="shared" si="6"/>
        <v>45995</v>
      </c>
      <c r="G22" s="17"/>
      <c r="H22" s="5"/>
      <c r="I22" s="95"/>
      <c r="J22" s="95"/>
      <c r="K22" s="95"/>
      <c r="L22" s="95"/>
      <c r="M22" s="95"/>
      <c r="N22" s="95"/>
      <c r="O22" s="95"/>
      <c r="P22" s="95"/>
      <c r="Q22" s="95"/>
      <c r="R22" s="95"/>
      <c r="S22" s="95"/>
      <c r="T22" s="95"/>
      <c r="U22" s="95"/>
      <c r="V22" s="95"/>
      <c r="W22" s="95"/>
      <c r="X22" s="95"/>
      <c r="Y22" s="95"/>
      <c r="Z22" s="95"/>
      <c r="AA22" s="95"/>
      <c r="AB22" s="95"/>
      <c r="AC22" s="95"/>
      <c r="AD22" s="95"/>
      <c r="AE22" s="95"/>
      <c r="AF22" s="95"/>
      <c r="AG22" s="95"/>
      <c r="AH22" s="95"/>
      <c r="AI22" s="95"/>
      <c r="AJ22" s="95"/>
      <c r="AK22" s="95"/>
      <c r="AL22" s="95"/>
      <c r="AM22" s="95"/>
      <c r="AN22" s="95"/>
      <c r="AO22" s="95"/>
      <c r="AP22" s="95"/>
      <c r="AQ22" s="95"/>
      <c r="AR22" s="95"/>
      <c r="AS22" s="95"/>
      <c r="AT22" s="95"/>
      <c r="AU22" s="95"/>
      <c r="AV22" s="95"/>
      <c r="AW22" s="95"/>
      <c r="AX22" s="95"/>
      <c r="AY22" s="95"/>
      <c r="AZ22" s="95"/>
      <c r="BA22" s="95"/>
      <c r="BB22" s="95"/>
      <c r="BC22" s="95"/>
      <c r="BD22" s="95"/>
      <c r="BE22" s="95"/>
      <c r="BF22" s="95"/>
      <c r="BG22" s="95"/>
      <c r="BH22" s="95"/>
      <c r="BI22" s="95"/>
      <c r="BJ22" s="95"/>
      <c r="BK22" s="95"/>
      <c r="BL22" s="95"/>
    </row>
    <row r="23" spans="1:65" s="45" customFormat="1" ht="30" customHeight="1" thickBot="1" x14ac:dyDescent="0.25">
      <c r="A23" s="13"/>
      <c r="B23" s="70"/>
      <c r="C23" s="71"/>
      <c r="D23" s="72"/>
      <c r="E23" s="73"/>
      <c r="F23" s="73"/>
      <c r="G23" s="17"/>
      <c r="H23" s="5" t="str">
        <f t="shared" si="5"/>
        <v/>
      </c>
      <c r="I23" s="96"/>
      <c r="J23" s="96"/>
      <c r="K23" s="96"/>
      <c r="L23" s="96"/>
      <c r="M23" s="96"/>
      <c r="N23" s="96"/>
      <c r="O23" s="96"/>
      <c r="P23" s="96"/>
      <c r="Q23" s="96"/>
      <c r="R23" s="96"/>
      <c r="S23" s="96"/>
      <c r="T23" s="96"/>
      <c r="U23" s="96"/>
      <c r="V23" s="96"/>
      <c r="W23" s="96"/>
      <c r="X23" s="96"/>
      <c r="Y23" s="96"/>
      <c r="Z23" s="96"/>
      <c r="AA23" s="96"/>
      <c r="AB23" s="96"/>
      <c r="AC23" s="96"/>
      <c r="AD23" s="96"/>
      <c r="AE23" s="96"/>
      <c r="AF23" s="96"/>
      <c r="AG23" s="96"/>
      <c r="AH23" s="96"/>
      <c r="AI23" s="96"/>
      <c r="AJ23" s="96"/>
      <c r="AK23" s="96"/>
      <c r="AL23" s="96"/>
      <c r="AM23" s="96"/>
      <c r="AN23" s="96"/>
      <c r="AO23" s="96"/>
      <c r="AP23" s="96"/>
      <c r="AQ23" s="96"/>
      <c r="AR23" s="96"/>
      <c r="AS23" s="96"/>
      <c r="AT23" s="96"/>
      <c r="AU23" s="96"/>
      <c r="AV23" s="96"/>
      <c r="AW23" s="96"/>
      <c r="AX23" s="96"/>
      <c r="AY23" s="96"/>
      <c r="AZ23" s="96"/>
      <c r="BA23" s="96"/>
      <c r="BB23" s="96"/>
      <c r="BC23" s="96"/>
      <c r="BD23" s="96"/>
      <c r="BE23" s="96"/>
      <c r="BF23" s="96"/>
      <c r="BG23" s="96"/>
      <c r="BH23" s="96"/>
      <c r="BI23" s="96"/>
      <c r="BJ23" s="96"/>
      <c r="BK23" s="96"/>
      <c r="BL23" s="96"/>
    </row>
    <row r="24" spans="1:65" s="45" customFormat="1" ht="30" customHeight="1" thickBot="1" x14ac:dyDescent="0.25">
      <c r="A24" s="14"/>
      <c r="B24" s="74" t="s">
        <v>0</v>
      </c>
      <c r="C24" s="75"/>
      <c r="D24" s="76"/>
      <c r="E24" s="77"/>
      <c r="F24" s="78"/>
      <c r="G24" s="17"/>
      <c r="H24" s="6" t="str">
        <f t="shared" si="5"/>
        <v/>
      </c>
      <c r="I24" s="79"/>
      <c r="J24" s="79"/>
      <c r="K24" s="79"/>
      <c r="L24" s="79"/>
      <c r="M24" s="79"/>
      <c r="N24" s="79"/>
      <c r="O24" s="79"/>
      <c r="P24" s="79"/>
      <c r="Q24" s="79"/>
      <c r="R24" s="79"/>
      <c r="S24" s="79"/>
      <c r="T24" s="79"/>
      <c r="U24" s="79"/>
      <c r="V24" s="79"/>
      <c r="W24" s="79"/>
      <c r="X24" s="79"/>
      <c r="Y24" s="79"/>
      <c r="Z24" s="79"/>
      <c r="AA24" s="79"/>
      <c r="AB24" s="79"/>
      <c r="AC24" s="79"/>
      <c r="AD24" s="79"/>
      <c r="AE24" s="79"/>
      <c r="AF24" s="79"/>
      <c r="AG24" s="79"/>
      <c r="AH24" s="79"/>
      <c r="AI24" s="79"/>
      <c r="AJ24" s="79"/>
      <c r="AK24" s="79"/>
      <c r="AL24" s="79"/>
      <c r="AM24" s="79"/>
      <c r="AN24" s="79"/>
      <c r="AO24" s="79"/>
      <c r="AP24" s="79"/>
      <c r="AQ24" s="79"/>
      <c r="AR24" s="79"/>
      <c r="AS24" s="79"/>
      <c r="AT24" s="79"/>
      <c r="AU24" s="79"/>
      <c r="AV24" s="79"/>
      <c r="AW24" s="79"/>
      <c r="AX24" s="79"/>
      <c r="AY24" s="79"/>
      <c r="AZ24" s="79"/>
      <c r="BA24" s="79"/>
      <c r="BB24" s="79"/>
      <c r="BC24" s="79"/>
      <c r="BD24" s="79"/>
      <c r="BE24" s="79"/>
      <c r="BF24" s="79"/>
      <c r="BG24" s="79"/>
      <c r="BH24" s="79"/>
      <c r="BI24" s="79"/>
      <c r="BJ24" s="79"/>
      <c r="BK24" s="79"/>
      <c r="BL24" s="79"/>
    </row>
    <row r="25" spans="1:65" ht="30" customHeight="1" x14ac:dyDescent="0.2">
      <c r="G25" s="3"/>
    </row>
    <row r="26" spans="1:65" ht="30" customHeight="1" x14ac:dyDescent="0.25">
      <c r="C26" s="16"/>
      <c r="F26" s="15"/>
    </row>
    <row r="27" spans="1:65" ht="30" customHeight="1" x14ac:dyDescent="0.2">
      <c r="C27" s="4"/>
    </row>
  </sheetData>
  <mergeCells count="18">
    <mergeCell ref="BF4:BL4"/>
    <mergeCell ref="I4:O4"/>
    <mergeCell ref="P4:V4"/>
    <mergeCell ref="W4:AC4"/>
    <mergeCell ref="AD4:AJ4"/>
    <mergeCell ref="AK4:AQ4"/>
    <mergeCell ref="AR4:AX4"/>
    <mergeCell ref="AY4:BE4"/>
    <mergeCell ref="F5:F6"/>
    <mergeCell ref="Q2:Z2"/>
    <mergeCell ref="Q1:Z1"/>
    <mergeCell ref="I1:O1"/>
    <mergeCell ref="I2:O2"/>
    <mergeCell ref="A5:A6"/>
    <mergeCell ref="B5:B6"/>
    <mergeCell ref="C5:C6"/>
    <mergeCell ref="D5:D6"/>
    <mergeCell ref="E5:E6"/>
  </mergeCells>
  <conditionalFormatting sqref="D7:D24">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BL22">
    <cfRule type="expression" dxfId="6" priority="1">
      <formula>AND(TODAY()&gt;=I$5, TODAY()&lt;J$5)</formula>
    </cfRule>
  </conditionalFormatting>
  <conditionalFormatting sqref="I9:BL9">
    <cfRule type="expression" dxfId="5" priority="6">
      <formula>AND(task_start&lt;=I$5,ROUNDDOWN((task_end-task_start+1)*task_progress,0)+task_start-1&gt;=I$5)</formula>
    </cfRule>
    <cfRule type="expression" dxfId="4" priority="7" stopIfTrue="1">
      <formula>AND(task_end&gt;=I$5,task_start&lt;J$5)</formula>
    </cfRule>
  </conditionalFormatting>
  <conditionalFormatting sqref="I11:BL15">
    <cfRule type="expression" dxfId="3" priority="2">
      <formula>AND(task_start&lt;=I$5,ROUNDDOWN((task_end-task_start+1)*task_progress,0)+task_start-1&gt;=I$5)</formula>
    </cfRule>
    <cfRule type="expression" dxfId="2" priority="3" stopIfTrue="1">
      <formula>AND(task_end&gt;=I$5,task_start&lt;J$5)</formula>
    </cfRule>
  </conditionalFormatting>
  <conditionalFormatting sqref="I17:BL22">
    <cfRule type="expression" dxfId="1" priority="36">
      <formula>AND(task_start&lt;=I$5,ROUNDDOWN((task_end-task_start+1)*task_progress,0)+task_start-1&gt;=I$5)</formula>
    </cfRule>
    <cfRule type="expression" dxfId="0" priority="37" stopIfTrue="1">
      <formula>AND(task_end&gt;=I$5,task_start&lt;J$5)</formula>
    </cfRule>
  </conditionalFormatting>
  <dataValidations count="11">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Phase 3's sample block starts in cell B20." sqref="A10" xr:uid="{956902D1-D3B5-416D-BB69-9362D193BC0A}"/>
    <dataValidation allowBlank="1" showInputMessage="1" showErrorMessage="1" prompt="Phase 4's sample block starts in cell B26." sqref="A1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24" xr:uid="{79B9237E-4DD3-4E0F-8ED6-E0B695A99D96}"/>
  </dataValidations>
  <hyperlinks>
    <hyperlink ref="B4" r:id="rId1" xr:uid="{00000000-0004-0000-0000-000000000000}"/>
    <hyperlink ref="B3" r:id="rId2" xr:uid="{00000000-0004-0000-0000-000001000000}"/>
  </hyperlinks>
  <printOptions horizontalCentered="1"/>
  <pageMargins left="0.35" right="0.35" top="0.35" bottom="0.5" header="0.3" footer="0.3"/>
  <pageSetup scale="57"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75" x14ac:dyDescent="0.2"/>
  <cols>
    <col min="1" max="1" width="87" style="7" customWidth="1"/>
    <col min="2" max="16384" width="9" style="1"/>
  </cols>
  <sheetData>
    <row r="1" spans="1:2" ht="46.5" customHeight="1" x14ac:dyDescent="0.2"/>
    <row r="2" spans="1:2" s="9" customFormat="1" ht="15.75" x14ac:dyDescent="0.2">
      <c r="A2" s="83" t="s">
        <v>8</v>
      </c>
      <c r="B2" s="8"/>
    </row>
    <row r="3" spans="1:2" s="11" customFormat="1" ht="27" customHeight="1" x14ac:dyDescent="0.2">
      <c r="A3" s="84"/>
      <c r="B3" s="12"/>
    </row>
    <row r="4" spans="1:2" s="10" customFormat="1" ht="31.5" x14ac:dyDescent="0.6">
      <c r="A4" s="85" t="s">
        <v>7</v>
      </c>
    </row>
    <row r="5" spans="1:2" ht="74.25" customHeight="1" x14ac:dyDescent="0.2">
      <c r="A5" s="86" t="s">
        <v>16</v>
      </c>
    </row>
    <row r="6" spans="1:2" ht="26.25" customHeight="1" x14ac:dyDescent="0.2">
      <c r="A6" s="85" t="s">
        <v>19</v>
      </c>
    </row>
    <row r="7" spans="1:2" s="7" customFormat="1" ht="205.15" customHeight="1" x14ac:dyDescent="0.2">
      <c r="A7" s="87" t="s">
        <v>18</v>
      </c>
    </row>
    <row r="8" spans="1:2" s="10" customFormat="1" ht="31.5" x14ac:dyDescent="0.6">
      <c r="A8" s="85" t="s">
        <v>9</v>
      </c>
    </row>
    <row r="9" spans="1:2" ht="57" x14ac:dyDescent="0.2">
      <c r="A9" s="86" t="s">
        <v>17</v>
      </c>
    </row>
    <row r="10" spans="1:2" s="7" customFormat="1" ht="28.15" customHeight="1" x14ac:dyDescent="0.2">
      <c r="A10" s="88" t="s">
        <v>15</v>
      </c>
    </row>
    <row r="11" spans="1:2" s="10" customFormat="1" ht="31.5" x14ac:dyDescent="0.6">
      <c r="A11" s="85" t="s">
        <v>6</v>
      </c>
    </row>
    <row r="12" spans="1:2" ht="28.5" x14ac:dyDescent="0.2">
      <c r="A12" s="86" t="s">
        <v>14</v>
      </c>
    </row>
    <row r="13" spans="1:2" s="7" customFormat="1" ht="28.15" customHeight="1" x14ac:dyDescent="0.2">
      <c r="A13" s="88" t="s">
        <v>2</v>
      </c>
    </row>
    <row r="14" spans="1:2" s="10" customFormat="1" ht="31.5" x14ac:dyDescent="0.6">
      <c r="A14" s="85" t="s">
        <v>10</v>
      </c>
    </row>
    <row r="15" spans="1:2" ht="75" customHeight="1" x14ac:dyDescent="0.2">
      <c r="A15" s="86" t="s">
        <v>11</v>
      </c>
    </row>
    <row r="16" spans="1:2" ht="71.25" x14ac:dyDescent="0.2">
      <c r="A16" s="86" t="s">
        <v>12</v>
      </c>
    </row>
    <row r="17" spans="1:1" x14ac:dyDescent="0.2">
      <c r="A17" s="89"/>
    </row>
    <row r="18" spans="1:1" x14ac:dyDescent="0.2">
      <c r="A18" s="89"/>
    </row>
    <row r="19" spans="1:1" x14ac:dyDescent="0.2">
      <c r="A19" s="89"/>
    </row>
    <row r="20" spans="1:1" x14ac:dyDescent="0.2">
      <c r="A20" s="89"/>
    </row>
    <row r="21" spans="1:1" x14ac:dyDescent="0.2">
      <c r="A21" s="89"/>
    </row>
    <row r="22" spans="1:1" x14ac:dyDescent="0.2">
      <c r="A22" s="89"/>
    </row>
    <row r="23" spans="1:1" x14ac:dyDescent="0.2">
      <c r="A23" s="89"/>
    </row>
    <row r="24" spans="1:1" x14ac:dyDescent="0.2">
      <c r="A24" s="89"/>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www.w3.org/2000/xmlns/"/>
    <ds:schemaRef ds:uri="http://schemas.microsoft.com/sharepoint/v3"/>
    <ds:schemaRef ds:uri="http://www.w3.org/2001/XMLSchema-instance"/>
    <ds:schemaRef ds:uri="71af3243-3dd4-4a8d-8c0d-dd76da1f02a5"/>
    <ds:schemaRef ds:uri="http://schemas.microsoft.com/office/infopath/2007/PartnerControls"/>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0/xmlns/"/>
    <ds:schemaRef ds:uri="http://www.w3.org/2001/XMLSchema"/>
    <ds:schemaRef ds:uri="http://schemas.microsoft.com/sharepoint/v3"/>
    <ds:schemaRef ds:uri="71af3243-3dd4-4a8d-8c0d-dd76da1f02a5"/>
    <ds:schemaRef ds:uri="16c05727-aa75-4e4a-9b5f-8a80a1165891"/>
    <ds:schemaRef ds:uri="230e9df3-be65-4c73-a93b-d1236ebd677e"/>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Brandon Nguyen</dc:creator>
  <dc:description/>
  <cp:lastModifiedBy>Brandon Nguyen</cp:lastModifiedBy>
  <dcterms:created xsi:type="dcterms:W3CDTF">2022-03-11T22:41:12Z</dcterms:created>
  <dcterms:modified xsi:type="dcterms:W3CDTF">2025-12-04T05:33:25Z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