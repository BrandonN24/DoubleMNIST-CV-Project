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d.docs.live.net/cabb659577f8f2a6/Documents/UCF/Graduate Studies/Fall 2025/CAP 5415/Course Project/"/>
    </mc:Choice>
  </mc:AlternateContent>
  <xr:revisionPtr revIDLastSave="46" documentId="8_{BC6BBFCB-F0CB-48F7-8EAB-1BA0930503B5}" xr6:coauthVersionLast="47" xr6:coauthVersionMax="47" xr10:uidLastSave="{D66CBDAC-27FF-4613-AFBA-57D4E62E9F82}"/>
  <bookViews>
    <workbookView xWindow="-98" yWindow="-98" windowWidth="21795" windowHeight="13875"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11" l="1"/>
  <c r="E18" i="11"/>
  <c r="F18" i="11" s="1"/>
  <c r="E19" i="11" s="1"/>
  <c r="F11" i="11"/>
  <c r="F17" i="11"/>
  <c r="H7" i="11"/>
  <c r="F19" i="11" l="1"/>
  <c r="E20" i="11"/>
  <c r="F20" i="11" s="1"/>
  <c r="E21" i="11" s="1"/>
  <c r="F21" i="11" s="1"/>
  <c r="E9" i="11"/>
  <c r="F9" i="11" s="1"/>
  <c r="E12" i="11" l="1"/>
  <c r="I5" i="11"/>
  <c r="H24" i="11"/>
  <c r="H23" i="11"/>
  <c r="H16" i="11"/>
  <c r="H10" i="11"/>
  <c r="H8" i="11"/>
  <c r="F12" i="11" l="1"/>
  <c r="H12" i="11" s="1"/>
  <c r="E13" i="11"/>
  <c r="H11" i="11"/>
  <c r="H9" i="11"/>
  <c r="I6" i="11"/>
  <c r="F13" i="11" l="1"/>
  <c r="E14" i="11"/>
  <c r="F14" i="11" s="1"/>
  <c r="E15" i="11" s="1"/>
  <c r="F15" i="11" s="1"/>
  <c r="H21" i="11"/>
  <c r="H20" i="11"/>
  <c r="H17" i="11"/>
  <c r="H15" i="11"/>
  <c r="J5" i="11"/>
  <c r="K5" i="11" s="1"/>
  <c r="L5" i="11" s="1"/>
  <c r="M5" i="11" s="1"/>
  <c r="N5" i="11" s="1"/>
  <c r="O5" i="11" s="1"/>
  <c r="P5" i="11" s="1"/>
  <c r="I4" i="11"/>
  <c r="H13" i="11" l="1"/>
  <c r="H18" i="11"/>
  <c r="H19" i="11"/>
  <c r="H14" i="11"/>
  <c r="P4" i="1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<sst xmlns="http://schemas.openxmlformats.org/spreadsheetml/2006/main" count="54" uniqueCount="42">
  <si>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</si>
  <si>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</si>
  <si>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</si>
  <si>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</si>
  <si>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</si>
  <si>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</si>
  <si>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</si>
  <si>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</si>
  <si>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</si>
  <si>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</si>
  <si>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</si>
  <si>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</si>
  <si>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</si>
  <si>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</si>
  <si>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</si>
  <si>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</si>
  <si>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</si>
  <si>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</si>
  <si>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</si>
  <si>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</si>
  <si>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</si>
  <si>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lead</t>
  </si>
  <si>
    <t>Initiation</t>
  </si>
  <si>
    <t>Define goals</t>
  </si>
  <si>
    <t>Execution</t>
  </si>
  <si>
    <t>Project start:</t>
  </si>
  <si>
    <t>Display week:</t>
  </si>
  <si>
    <t>ASSIGNED TO</t>
  </si>
  <si>
    <t>Multi-MNIST Project</t>
  </si>
  <si>
    <t>Report</t>
  </si>
  <si>
    <t>Testing and Data Collection</t>
  </si>
  <si>
    <t>Brandon Nguyen</t>
  </si>
  <si>
    <t>Begin Outline &amp; Structure</t>
  </si>
  <si>
    <t>Custom Architecture</t>
  </si>
  <si>
    <t>ResNet Architecture</t>
  </si>
  <si>
    <t>AlexNet Architecture</t>
  </si>
  <si>
    <t>Dataloader</t>
  </si>
  <si>
    <t>Abstract and Introduction</t>
  </si>
  <si>
    <t>Results and Analysis</t>
  </si>
  <si>
    <t>Design and Implementation</t>
  </si>
  <si>
    <t>Conclusion</t>
  </si>
  <si>
    <t>README (How to Run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</si>
</sst>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theme="0" tint="-4.9989318521683403E-2"/>
      </left>
      <right style="thin">
        <color theme="0" tint="-4.9989318521683403E-2"/>
      </right>
      <top style="thin">
        <color theme="0" tint="-4.9989318521683403E-2"/>
      </top>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1">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0" borderId="18" xfId="0" applyNumberFormat="1" applyFont="1" applyFill="1" applyBorder="1" applyAlignment="1">
      <alignment horizontal="center" vertical="center"/>
    </xf>
    <xf numFmtId="167" fontId="21" fillId="10" borderId="16" xfId="0" applyNumberFormat="1" applyFont="1" applyFill="1" applyBorder="1" applyAlignment="1">
      <alignment horizontal="center" vertical="center"/>
    </xf>
    <xf numFmtId="167" fontId="21" fillId="10" borderId="17" xfId="0" applyNumberFormat="1" applyFont="1" applyFill="1" applyBorder="1" applyAlignment="1">
      <alignment horizontal="center" vertical="center"/>
    </xf>
    <xf numFmtId="0" fontId="22" fillId="2" borderId="15" xfId="0" applyFont="1" applyFill="1" applyBorder="1" applyAlignment="1">
      <alignment horizontal="center" vertical="center" shrinkToFit="1"/>
    </xf>
    <xf numFmtId="0" fontId="22" fillId="2" borderId="12" xfId="0" applyFont="1" applyFill="1" applyBorder="1" applyAlignment="1">
      <alignment horizontal="center" vertical="center" shrinkToFit="1"/>
    </xf>
    <xf numFmtId="0" fontId="22" fillId="2" borderId="13"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5" borderId="0" xfId="0" applyFont="1" applyFill="1" applyAlignment="1">
      <alignment horizontal="left" vertical="center" indent="1"/>
    </xf>
    <xf numFmtId="0" fontId="19" fillId="5" borderId="0" xfId="11" applyFont="1" applyFill="1" applyBorder="1" applyAlignment="1">
      <alignment vertical="center"/>
    </xf>
    <xf numFmtId="9" fontId="1" fillId="5" borderId="0" xfId="2" applyFont="1" applyFill="1" applyBorder="1" applyAlignment="1">
      <alignment horizontal="center" vertical="center"/>
    </xf>
    <xf numFmtId="164" fontId="19" fillId="5" borderId="0" xfId="0" applyNumberFormat="1" applyFont="1" applyFill="1" applyAlignment="1">
      <alignment horizontal="center" vertical="center"/>
    </xf>
    <xf numFmtId="164" fontId="1" fillId="5" borderId="0" xfId="0" applyNumberFormat="1" applyFont="1" applyFill="1" applyAlignment="1">
      <alignment horizontal="center" vertical="center"/>
    </xf>
    <xf numFmtId="0" fontId="4" fillId="0" borderId="10" xfId="0" applyFont="1" applyBorder="1" applyAlignment="1">
      <alignment vertical="center"/>
    </xf>
    <xf numFmtId="0" fontId="4" fillId="0" borderId="0" xfId="0" applyFont="1" applyAlignment="1">
      <alignment vertical="center"/>
    </xf>
    <xf numFmtId="0" fontId="19" fillId="3" borderId="5" xfId="12" applyFont="1" applyFill="1" applyBorder="1">
      <alignment horizontal="left" vertical="center" indent="2"/>
    </xf>
    <xf numFmtId="0" fontId="19" fillId="3" borderId="5" xfId="11" applyFont="1" applyFill="1" applyBorder="1" applyAlignment="1">
      <alignment vertical="center"/>
    </xf>
    <xf numFmtId="9" fontId="1" fillId="3" borderId="5" xfId="2" applyFont="1" applyFill="1" applyBorder="1" applyAlignment="1">
      <alignment horizontal="center" vertical="center"/>
    </xf>
    <xf numFmtId="164" fontId="19" fillId="3" borderId="5" xfId="10" applyFont="1" applyFill="1" applyBorder="1">
      <alignment horizontal="center" vertical="center"/>
    </xf>
    <xf numFmtId="0" fontId="4" fillId="0" borderId="4"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9" xfId="0" applyFont="1" applyBorder="1" applyAlignment="1">
      <alignment vertical="center"/>
    </xf>
    <xf numFmtId="0" fontId="19" fillId="4" borderId="6" xfId="12" applyFont="1" applyFill="1" applyBorder="1">
      <alignment horizontal="left" vertical="center" indent="2"/>
    </xf>
    <xf numFmtId="0" fontId="19" fillId="4" borderId="6" xfId="11" applyFont="1" applyFill="1" applyBorder="1" applyAlignment="1">
      <alignment vertical="center"/>
    </xf>
    <xf numFmtId="9" fontId="1" fillId="4" borderId="6" xfId="2" applyFont="1" applyFill="1" applyBorder="1" applyAlignment="1">
      <alignment horizontal="center" vertical="center"/>
    </xf>
    <xf numFmtId="164" fontId="19" fillId="4" borderId="6" xfId="10" applyFont="1" applyFill="1" applyBorder="1">
      <alignment horizontal="center"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4" fillId="0" borderId="8" xfId="0" applyFont="1" applyBorder="1" applyAlignment="1">
      <alignment vertical="center"/>
    </xf>
    <xf numFmtId="0" fontId="19" fillId="8" borderId="7" xfId="12" applyFont="1" applyFill="1" applyBorder="1">
      <alignment horizontal="left" vertical="center" indent="2"/>
    </xf>
    <xf numFmtId="0" fontId="19" fillId="8" borderId="7" xfId="11" applyFont="1" applyFill="1" applyBorder="1" applyAlignment="1">
      <alignment vertical="center"/>
    </xf>
    <xf numFmtId="9" fontId="1" fillId="8" borderId="7" xfId="2" applyFont="1" applyFill="1" applyBorder="1" applyAlignment="1">
      <alignment horizontal="center" vertical="center"/>
    </xf>
    <xf numFmtId="164" fontId="19" fillId="8" borderId="7"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9" fillId="8" borderId="0" xfId="12" applyFont="1" applyFill="1" applyBorder="1">
      <alignment horizontal="left" vertical="center" indent="2"/>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10" applyFont="1" applyFill="1" applyBorder="1">
      <alignment horizontal="center" vertical="center"/>
    </xf>
    <xf numFmtId="0" fontId="4" fillId="0" borderId="20" xfId="0" applyFont="1" applyBorder="1" applyAlignment="1">
      <alignment vertical="center"/>
    </xf>
    <xf numFmtId="0" fontId="13" fillId="0" borderId="0" xfId="3" applyAlignment="1">
      <alignment wrapText="1"/>
    </xf>
    <xf numFmtId="0" fontId="20" fillId="9" borderId="14" xfId="0" applyFont="1" applyFill="1" applyBorder="1" applyAlignment="1">
      <alignment horizontal="left" vertical="center" indent="1"/>
    </xf>
    <xf numFmtId="0" fontId="4" fillId="2" borderId="19" xfId="0" applyFont="1" applyFill="1" applyBorder="1" applyAlignment="1">
      <alignment horizontal="left" indent="1"/>
    </xf>
    <xf numFmtId="0" fontId="20" fillId="9" borderId="14" xfId="0" applyFont="1" applyFill="1" applyBorder="1" applyAlignment="1">
      <alignment vertical="center"/>
    </xf>
    <xf numFmtId="0" fontId="4" fillId="2" borderId="19" xfId="0" applyFont="1" applyFill="1" applyBorder="1"/>
    <xf numFmtId="0" fontId="20" fillId="9" borderId="14"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1" xfId="0" applyNumberFormat="1" applyFont="1" applyFill="1" applyBorder="1" applyAlignment="1">
      <alignment horizontal="center" vertical="center" wrapText="1"/>
    </xf>
    <xf numFmtId="166" fontId="19" fillId="2" borderId="17" xfId="0" applyNumberFormat="1" applyFont="1" applyFill="1" applyBorder="1" applyAlignment="1">
      <alignment horizontal="center" vertical="center" wrapText="1"/>
    </xf>
    <xf numFmtId="166" fontId="19" fillId="2" borderId="16"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6">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5"/>
      <tableStyleElement type="headerRow" dxfId="14"/>
      <tableStyleElement type="totalRow" dxfId="13"/>
      <tableStyleElement type="firstColumn" dxfId="12"/>
      <tableStyleElement type="lastColumn" dxfId="11"/>
      <tableStyleElement type="firstRowStripe" dxfId="10"/>
      <tableStyleElement type="secondRowStripe" dxfId="9"/>
      <tableStyleElement type="firstColumnStripe" dxfId="8"/>
      <tableStyleElement type="secondColumn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27"/>
  <sheetViews>
    <sheetView showGridLines="0" tabSelected="1" showRuler="0" topLeftCell="A9" zoomScaleNormal="100" zoomScalePageLayoutView="70" workbookViewId="0">
      <selection activeCell="D19" sqref="D19"/>
    </sheetView>
  </sheetViews>
  <sheetFormatPr defaultColWidth="8.75" defaultRowHeight="30" customHeight="1" x14ac:dyDescent="0.35"/>
  <cols>
    <col min="1" max="1" width="2.75" style="13" customWidth="1"/>
    <col min="2" max="2" width="26.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x14ac:dyDescent="2.25">
      <c r="A1" s="14"/>
      <c r="B1" s="84" t="s">
        <v>28</v>
      </c>
      <c r="C1" s="18"/>
      <c r="D1" s="19"/>
      <c r="E1" s="20"/>
      <c r="F1" s="21"/>
      <c r="H1" s="1"/>
      <c r="I1" s="106" t="s">
        <v>25</v>
      </c>
      <c r="J1" s="107"/>
      <c r="K1" s="107"/>
      <c r="L1" s="107"/>
      <c r="M1" s="107"/>
      <c r="N1" s="107"/>
      <c r="O1" s="107"/>
      <c r="P1" s="24"/>
      <c r="Q1" s="105">
        <v>45986</v>
      </c>
      <c r="R1" s="104"/>
      <c r="S1" s="104"/>
      <c r="T1" s="104"/>
      <c r="U1" s="104"/>
      <c r="V1" s="104"/>
      <c r="W1" s="104"/>
      <c r="X1" s="104"/>
      <c r="Y1" s="104"/>
      <c r="Z1" s="104"/>
    </row>
    <row r="2" spans="1:64" ht="30" customHeight="1" x14ac:dyDescent="0.9">
      <c r="B2" s="82"/>
      <c r="C2" s="83" t="s">
        <v>21</v>
      </c>
      <c r="D2" s="22"/>
      <c r="E2" s="23"/>
      <c r="F2" s="22"/>
      <c r="I2" s="106" t="s">
        <v>26</v>
      </c>
      <c r="J2" s="107"/>
      <c r="K2" s="107"/>
      <c r="L2" s="107"/>
      <c r="M2" s="107"/>
      <c r="N2" s="107"/>
      <c r="O2" s="107"/>
      <c r="P2" s="24"/>
      <c r="Q2" s="103">
        <v>1</v>
      </c>
      <c r="R2" s="104"/>
      <c r="S2" s="104"/>
      <c r="T2" s="104"/>
      <c r="U2" s="104"/>
      <c r="V2" s="104"/>
      <c r="W2" s="104"/>
      <c r="X2" s="104"/>
      <c r="Y2" s="104"/>
      <c r="Z2" s="104"/>
    </row>
    <row r="3" spans="1:64" s="26" customFormat="1" ht="30" customHeight="1" x14ac:dyDescent="0.4">
      <c r="A3" s="13"/>
      <c r="B3" s="25" t="s">
        <v>8</v>
      </c>
      <c r="D3" s="27"/>
      <c r="E3" s="28"/>
    </row>
    <row r="4" spans="1:64" s="26" customFormat="1" ht="30" customHeight="1" x14ac:dyDescent="0.35">
      <c r="A4" s="14"/>
      <c r="B4" s="29" t="s">
        <v>13</v>
      </c>
      <c r="E4" s="30"/>
      <c r="I4" s="110">
        <f>I5</f>
        <v>45985</v>
      </c>
      <c r="J4" s="108"/>
      <c r="K4" s="108"/>
      <c r="L4" s="108"/>
      <c r="M4" s="108"/>
      <c r="N4" s="108"/>
      <c r="O4" s="108"/>
      <c r="P4" s="108">
        <f>P5</f>
        <v>45992</v>
      </c>
      <c r="Q4" s="108"/>
      <c r="R4" s="108"/>
      <c r="S4" s="108"/>
      <c r="T4" s="108"/>
      <c r="U4" s="108"/>
      <c r="V4" s="108"/>
      <c r="W4" s="108">
        <f>W5</f>
        <v>45999</v>
      </c>
      <c r="X4" s="108"/>
      <c r="Y4" s="108"/>
      <c r="Z4" s="108"/>
      <c r="AA4" s="108"/>
      <c r="AB4" s="108"/>
      <c r="AC4" s="108"/>
      <c r="AD4" s="108">
        <f>AD5</f>
        <v>46006</v>
      </c>
      <c r="AE4" s="108"/>
      <c r="AF4" s="108"/>
      <c r="AG4" s="108"/>
      <c r="AH4" s="108"/>
      <c r="AI4" s="108"/>
      <c r="AJ4" s="108"/>
      <c r="AK4" s="108">
        <f>AK5</f>
        <v>46013</v>
      </c>
      <c r="AL4" s="108"/>
      <c r="AM4" s="108"/>
      <c r="AN4" s="108"/>
      <c r="AO4" s="108"/>
      <c r="AP4" s="108"/>
      <c r="AQ4" s="108"/>
      <c r="AR4" s="108">
        <f>AR5</f>
        <v>46020</v>
      </c>
      <c r="AS4" s="108"/>
      <c r="AT4" s="108"/>
      <c r="AU4" s="108"/>
      <c r="AV4" s="108"/>
      <c r="AW4" s="108"/>
      <c r="AX4" s="108"/>
      <c r="AY4" s="108">
        <f>AY5</f>
        <v>46027</v>
      </c>
      <c r="AZ4" s="108"/>
      <c r="BA4" s="108"/>
      <c r="BB4" s="108"/>
      <c r="BC4" s="108"/>
      <c r="BD4" s="108"/>
      <c r="BE4" s="108"/>
      <c r="BF4" s="108">
        <f>BF5</f>
        <v>46034</v>
      </c>
      <c r="BG4" s="108"/>
      <c r="BH4" s="108"/>
      <c r="BI4" s="108"/>
      <c r="BJ4" s="108"/>
      <c r="BK4" s="108"/>
      <c r="BL4" s="109"/>
    </row>
    <row r="5" spans="1:64" s="26" customFormat="1" ht="15" customHeight="1" x14ac:dyDescent="0.35">
      <c r="A5" s="97"/>
      <c r="B5" s="98" t="s">
        <v>5</v>
      </c>
      <c r="C5" s="100" t="s">
        <v>27</v>
      </c>
      <c r="D5" s="102" t="s">
        <v>1</v>
      </c>
      <c r="E5" s="102" t="s">
        <v>3</v>
      </c>
      <c r="F5" s="102" t="s">
        <v>4</v>
      </c>
      <c r="I5" s="31">
        <f>Project_Start-WEEKDAY(Project_Start,1)+2+7*(Display_Week-1)</f>
        <v>45985</v>
      </c>
      <c r="J5" s="31">
        <f>I5+1</f>
        <v>45986</v>
      </c>
      <c r="K5" s="31">
        <f t="shared" ref="K5:AX5" si="0">J5+1</f>
        <v>45987</v>
      </c>
      <c r="L5" s="31">
        <f t="shared" si="0"/>
        <v>45988</v>
      </c>
      <c r="M5" s="31">
        <f t="shared" si="0"/>
        <v>45989</v>
      </c>
      <c r="N5" s="31">
        <f t="shared" si="0"/>
        <v>45990</v>
      </c>
      <c r="O5" s="32">
        <f t="shared" si="0"/>
        <v>45991</v>
      </c>
      <c r="P5" s="33">
        <f>O5+1</f>
        <v>45992</v>
      </c>
      <c r="Q5" s="31">
        <f>P5+1</f>
        <v>45993</v>
      </c>
      <c r="R5" s="31">
        <f t="shared" si="0"/>
        <v>45994</v>
      </c>
      <c r="S5" s="31">
        <f t="shared" si="0"/>
        <v>45995</v>
      </c>
      <c r="T5" s="31">
        <f t="shared" si="0"/>
        <v>45996</v>
      </c>
      <c r="U5" s="31">
        <f t="shared" si="0"/>
        <v>45997</v>
      </c>
      <c r="V5" s="32">
        <f t="shared" si="0"/>
        <v>45998</v>
      </c>
      <c r="W5" s="33">
        <f>V5+1</f>
        <v>45999</v>
      </c>
      <c r="X5" s="31">
        <f>W5+1</f>
        <v>46000</v>
      </c>
      <c r="Y5" s="31">
        <f t="shared" si="0"/>
        <v>46001</v>
      </c>
      <c r="Z5" s="31">
        <f t="shared" si="0"/>
        <v>46002</v>
      </c>
      <c r="AA5" s="31">
        <f t="shared" si="0"/>
        <v>46003</v>
      </c>
      <c r="AB5" s="31">
        <f t="shared" si="0"/>
        <v>46004</v>
      </c>
      <c r="AC5" s="32">
        <f t="shared" si="0"/>
        <v>46005</v>
      </c>
      <c r="AD5" s="33">
        <f>AC5+1</f>
        <v>46006</v>
      </c>
      <c r="AE5" s="31">
        <f>AD5+1</f>
        <v>46007</v>
      </c>
      <c r="AF5" s="31">
        <f t="shared" si="0"/>
        <v>46008</v>
      </c>
      <c r="AG5" s="31">
        <f t="shared" si="0"/>
        <v>46009</v>
      </c>
      <c r="AH5" s="31">
        <f t="shared" si="0"/>
        <v>46010</v>
      </c>
      <c r="AI5" s="31">
        <f t="shared" si="0"/>
        <v>46011</v>
      </c>
      <c r="AJ5" s="32">
        <f t="shared" si="0"/>
        <v>46012</v>
      </c>
      <c r="AK5" s="33">
        <f>AJ5+1</f>
        <v>46013</v>
      </c>
      <c r="AL5" s="31">
        <f>AK5+1</f>
        <v>46014</v>
      </c>
      <c r="AM5" s="31">
        <f t="shared" si="0"/>
        <v>46015</v>
      </c>
      <c r="AN5" s="31">
        <f t="shared" si="0"/>
        <v>46016</v>
      </c>
      <c r="AO5" s="31">
        <f t="shared" si="0"/>
        <v>46017</v>
      </c>
      <c r="AP5" s="31">
        <f t="shared" si="0"/>
        <v>46018</v>
      </c>
      <c r="AQ5" s="32">
        <f t="shared" si="0"/>
        <v>46019</v>
      </c>
      <c r="AR5" s="33">
        <f>AQ5+1</f>
        <v>46020</v>
      </c>
      <c r="AS5" s="31">
        <f>AR5+1</f>
        <v>46021</v>
      </c>
      <c r="AT5" s="31">
        <f t="shared" si="0"/>
        <v>46022</v>
      </c>
      <c r="AU5" s="31">
        <f t="shared" si="0"/>
        <v>46023</v>
      </c>
      <c r="AV5" s="31">
        <f t="shared" si="0"/>
        <v>46024</v>
      </c>
      <c r="AW5" s="31">
        <f t="shared" si="0"/>
        <v>46025</v>
      </c>
      <c r="AX5" s="32">
        <f t="shared" si="0"/>
        <v>46026</v>
      </c>
      <c r="AY5" s="33">
        <f>AX5+1</f>
        <v>46027</v>
      </c>
      <c r="AZ5" s="31">
        <f>AY5+1</f>
        <v>46028</v>
      </c>
      <c r="BA5" s="31">
        <f t="shared" ref="BA5:BE5" si="1">AZ5+1</f>
        <v>46029</v>
      </c>
      <c r="BB5" s="31">
        <f t="shared" si="1"/>
        <v>46030</v>
      </c>
      <c r="BC5" s="31">
        <f t="shared" si="1"/>
        <v>46031</v>
      </c>
      <c r="BD5" s="31">
        <f t="shared" si="1"/>
        <v>46032</v>
      </c>
      <c r="BE5" s="32">
        <f t="shared" si="1"/>
        <v>46033</v>
      </c>
      <c r="BF5" s="33">
        <f>BE5+1</f>
        <v>46034</v>
      </c>
      <c r="BG5" s="31">
        <f>BF5+1</f>
        <v>46035</v>
      </c>
      <c r="BH5" s="31">
        <f t="shared" ref="BH5:BL5" si="2">BG5+1</f>
        <v>46036</v>
      </c>
      <c r="BI5" s="31">
        <f t="shared" si="2"/>
        <v>46037</v>
      </c>
      <c r="BJ5" s="31">
        <f t="shared" si="2"/>
        <v>46038</v>
      </c>
      <c r="BK5" s="31">
        <f t="shared" si="2"/>
        <v>46039</v>
      </c>
      <c r="BL5" s="31">
        <f t="shared" si="2"/>
        <v>46040</v>
      </c>
    </row>
    <row r="6" spans="1:64" s="26" customFormat="1" ht="15" customHeight="1" thickBot="1" x14ac:dyDescent="0.4">
      <c r="A6" s="97"/>
      <c r="B6" s="99"/>
      <c r="C6" s="101"/>
      <c r="D6" s="101"/>
      <c r="E6" s="101"/>
      <c r="F6" s="101"/>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BL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x14ac:dyDescent="0.4">
      <c r="A7" s="13" t="s">
        <v>20</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4">
      <c r="A8" s="14"/>
      <c r="B8" s="40" t="s">
        <v>22</v>
      </c>
      <c r="C8" s="41"/>
      <c r="D8" s="42"/>
      <c r="E8" s="43"/>
      <c r="F8" s="44"/>
      <c r="G8" s="17"/>
      <c r="H8" s="5" t="str">
        <f t="shared" ref="H8:H24"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4">
      <c r="A9" s="14"/>
      <c r="B9" s="47" t="s">
        <v>23</v>
      </c>
      <c r="C9" s="48" t="s">
        <v>31</v>
      </c>
      <c r="D9" s="49">
        <v>1</v>
      </c>
      <c r="E9" s="50">
        <f>Project_Start</f>
        <v>45986</v>
      </c>
      <c r="F9" s="50">
        <f>E9+1</f>
        <v>45987</v>
      </c>
      <c r="G9" s="17"/>
      <c r="H9" s="5">
        <f t="shared" si="5"/>
        <v>2</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x14ac:dyDescent="0.4">
      <c r="A10" s="13"/>
      <c r="B10" s="52" t="s">
        <v>24</v>
      </c>
      <c r="C10" s="53"/>
      <c r="D10" s="54"/>
      <c r="E10" s="55"/>
      <c r="F10" s="56"/>
      <c r="G10" s="17"/>
      <c r="H10" s="5" t="str">
        <f t="shared" si="5"/>
        <v/>
      </c>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row>
    <row r="11" spans="1:64" s="46" customFormat="1" ht="30" customHeight="1" thickBot="1" x14ac:dyDescent="0.4">
      <c r="A11" s="13"/>
      <c r="B11" s="58" t="s">
        <v>36</v>
      </c>
      <c r="C11" s="59" t="s">
        <v>31</v>
      </c>
      <c r="D11" s="60">
        <v>1</v>
      </c>
      <c r="E11" s="61">
        <v>45986</v>
      </c>
      <c r="F11" s="61">
        <f>E11+1</f>
        <v>45987</v>
      </c>
      <c r="G11" s="17"/>
      <c r="H11" s="5">
        <f t="shared" si="5"/>
        <v>2</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x14ac:dyDescent="0.4">
      <c r="A12" s="13"/>
      <c r="B12" s="58" t="s">
        <v>33</v>
      </c>
      <c r="C12" s="59" t="s">
        <v>31</v>
      </c>
      <c r="D12" s="60">
        <v>1</v>
      </c>
      <c r="E12" s="61">
        <f>F11+1</f>
        <v>45988</v>
      </c>
      <c r="F12" s="61">
        <f>E12+1</f>
        <v>45989</v>
      </c>
      <c r="G12" s="17"/>
      <c r="H12" s="5">
        <f t="shared" si="5"/>
        <v>2</v>
      </c>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customHeight="1" thickBot="1" x14ac:dyDescent="0.4">
      <c r="A13" s="13"/>
      <c r="B13" s="58" t="s">
        <v>35</v>
      </c>
      <c r="C13" s="59" t="s">
        <v>31</v>
      </c>
      <c r="D13" s="60">
        <v>1</v>
      </c>
      <c r="E13" s="61">
        <f>E12+1</f>
        <v>45989</v>
      </c>
      <c r="F13" s="61">
        <f>E13+1</f>
        <v>45990</v>
      </c>
      <c r="G13" s="17"/>
      <c r="H13" s="5">
        <f t="shared" si="5"/>
        <v>2</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x14ac:dyDescent="0.4">
      <c r="A14" s="13"/>
      <c r="B14" s="58" t="s">
        <v>34</v>
      </c>
      <c r="C14" s="59" t="s">
        <v>31</v>
      </c>
      <c r="D14" s="60">
        <v>1</v>
      </c>
      <c r="E14" s="61">
        <f>E13</f>
        <v>45989</v>
      </c>
      <c r="F14" s="61">
        <f>E14+1</f>
        <v>45990</v>
      </c>
      <c r="G14" s="17"/>
      <c r="H14" s="5">
        <f t="shared" si="5"/>
        <v>2</v>
      </c>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row>
    <row r="15" spans="1:64" s="46" customFormat="1" ht="30" customHeight="1" thickBot="1" x14ac:dyDescent="0.4">
      <c r="A15" s="13"/>
      <c r="B15" s="58" t="s">
        <v>30</v>
      </c>
      <c r="C15" s="59" t="s">
        <v>31</v>
      </c>
      <c r="D15" s="60">
        <v>1</v>
      </c>
      <c r="E15" s="61">
        <f>F14+1</f>
        <v>45991</v>
      </c>
      <c r="F15" s="61">
        <f>E15+2</f>
        <v>45993</v>
      </c>
      <c r="G15" s="17"/>
      <c r="H15" s="5">
        <f t="shared" si="5"/>
        <v>3</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x14ac:dyDescent="0.4">
      <c r="A16" s="13"/>
      <c r="B16" s="62" t="s">
        <v>29</v>
      </c>
      <c r="C16" s="63"/>
      <c r="D16" s="64"/>
      <c r="E16" s="65"/>
      <c r="F16" s="66"/>
      <c r="G16" s="17"/>
      <c r="H16" s="5" t="str">
        <f t="shared" si="5"/>
        <v/>
      </c>
      <c r="I16" s="67"/>
      <c r="J16" s="67"/>
      <c r="K16" s="67"/>
      <c r="L16" s="67"/>
      <c r="M16" s="67"/>
      <c r="N16" s="67"/>
      <c r="O16" s="67"/>
      <c r="P16" s="67"/>
      <c r="Q16" s="67"/>
      <c r="R16" s="67"/>
      <c r="S16" s="67"/>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c r="AZ16" s="67"/>
      <c r="BA16" s="67"/>
      <c r="BB16" s="67"/>
      <c r="BC16" s="67"/>
      <c r="BD16" s="67"/>
      <c r="BE16" s="67"/>
      <c r="BF16" s="67"/>
      <c r="BG16" s="67"/>
      <c r="BH16" s="67"/>
      <c r="BI16" s="67"/>
      <c r="BJ16" s="67"/>
      <c r="BK16" s="67"/>
      <c r="BL16" s="67"/>
    </row>
    <row r="17" spans="1:64" s="46" customFormat="1" ht="30" customHeight="1" thickBot="1" x14ac:dyDescent="0.4">
      <c r="A17" s="13"/>
      <c r="B17" s="68" t="s">
        <v>32</v>
      </c>
      <c r="C17" s="69" t="s">
        <v>31</v>
      </c>
      <c r="D17" s="70">
        <v>1</v>
      </c>
      <c r="E17" s="71">
        <v>45992</v>
      </c>
      <c r="F17" s="71">
        <f t="shared" ref="F17:F22" si="6">E17+1</f>
        <v>45993</v>
      </c>
      <c r="G17" s="17"/>
      <c r="H17" s="5">
        <f t="shared" si="5"/>
        <v>2</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x14ac:dyDescent="0.4">
      <c r="A18" s="13"/>
      <c r="B18" s="68" t="s">
        <v>37</v>
      </c>
      <c r="C18" s="69" t="s">
        <v>31</v>
      </c>
      <c r="D18" s="70">
        <v>1</v>
      </c>
      <c r="E18" s="71">
        <f>E17</f>
        <v>45992</v>
      </c>
      <c r="F18" s="71">
        <f t="shared" si="6"/>
        <v>45993</v>
      </c>
      <c r="G18" s="17"/>
      <c r="H18" s="5">
        <f t="shared" si="5"/>
        <v>2</v>
      </c>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x14ac:dyDescent="0.4">
      <c r="A19" s="13"/>
      <c r="B19" s="68" t="s">
        <v>39</v>
      </c>
      <c r="C19" s="69" t="s">
        <v>31</v>
      </c>
      <c r="D19" s="70">
        <v>0.25</v>
      </c>
      <c r="E19" s="71">
        <f>F18</f>
        <v>45993</v>
      </c>
      <c r="F19" s="71">
        <f t="shared" si="6"/>
        <v>45994</v>
      </c>
      <c r="G19" s="17"/>
      <c r="H19" s="5">
        <f t="shared" si="5"/>
        <v>2</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x14ac:dyDescent="0.4">
      <c r="A20" s="13"/>
      <c r="B20" s="68" t="s">
        <v>38</v>
      </c>
      <c r="C20" s="69" t="s">
        <v>31</v>
      </c>
      <c r="D20" s="70">
        <v>0</v>
      </c>
      <c r="E20" s="71">
        <f>E19</f>
        <v>45993</v>
      </c>
      <c r="F20" s="71">
        <f t="shared" si="6"/>
        <v>45994</v>
      </c>
      <c r="G20" s="17"/>
      <c r="H20" s="5">
        <f t="shared" si="5"/>
        <v>2</v>
      </c>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row>
    <row r="21" spans="1:64" s="46" customFormat="1" ht="30" customHeight="1" thickBot="1" x14ac:dyDescent="0.4">
      <c r="A21" s="13"/>
      <c r="B21" s="68" t="s">
        <v>40</v>
      </c>
      <c r="C21" s="69" t="s">
        <v>31</v>
      </c>
      <c r="D21" s="70">
        <v>0</v>
      </c>
      <c r="E21" s="71">
        <f>F20</f>
        <v>45994</v>
      </c>
      <c r="F21" s="71">
        <f t="shared" si="6"/>
        <v>45995</v>
      </c>
      <c r="G21" s="17"/>
      <c r="H21" s="5">
        <f t="shared" si="5"/>
        <v>2</v>
      </c>
      <c r="I21" s="96"/>
      <c r="J21" s="96"/>
      <c r="K21" s="96"/>
      <c r="L21" s="96"/>
      <c r="M21" s="96"/>
      <c r="N21" s="96"/>
      <c r="O21" s="96"/>
      <c r="P21" s="96"/>
      <c r="Q21" s="96"/>
      <c r="R21" s="96"/>
      <c r="S21" s="96"/>
      <c r="T21" s="96"/>
      <c r="U21" s="96"/>
      <c r="V21" s="96"/>
      <c r="W21" s="96"/>
      <c r="X21" s="96"/>
      <c r="Y21" s="96"/>
      <c r="Z21" s="96"/>
      <c r="AA21" s="96"/>
      <c r="AB21" s="96"/>
      <c r="AC21" s="96"/>
      <c r="AD21" s="96"/>
      <c r="AE21" s="96"/>
      <c r="AF21" s="96"/>
      <c r="AG21" s="96"/>
      <c r="AH21" s="96"/>
      <c r="AI21" s="96"/>
      <c r="AJ21" s="96"/>
      <c r="AK21" s="96"/>
      <c r="AL21" s="96"/>
      <c r="AM21" s="96"/>
      <c r="AN21" s="96"/>
      <c r="AO21" s="96"/>
      <c r="AP21" s="96"/>
      <c r="AQ21" s="96"/>
      <c r="AR21" s="96"/>
      <c r="AS21" s="96"/>
      <c r="AT21" s="96"/>
      <c r="AU21" s="96"/>
      <c r="AV21" s="96"/>
      <c r="AW21" s="96"/>
      <c r="AX21" s="96"/>
      <c r="AY21" s="96"/>
      <c r="AZ21" s="96"/>
      <c r="BA21" s="96"/>
      <c r="BB21" s="96"/>
      <c r="BC21" s="96"/>
      <c r="BD21" s="96"/>
      <c r="BE21" s="96"/>
      <c r="BF21" s="96"/>
      <c r="BG21" s="96"/>
      <c r="BH21" s="96"/>
      <c r="BI21" s="96"/>
      <c r="BJ21" s="96"/>
      <c r="BK21" s="96"/>
      <c r="BL21" s="96"/>
    </row>
    <row r="22" spans="1:64" s="46" customFormat="1" ht="30" customHeight="1" thickBot="1" x14ac:dyDescent="0.4">
      <c r="A22" s="13"/>
      <c r="B22" s="92" t="s">
        <v>41</v>
      </c>
      <c r="C22" s="93" t="s">
        <v>31</v>
      </c>
      <c r="D22" s="94">
        <v>0.25</v>
      </c>
      <c r="E22" s="95">
        <v>45994</v>
      </c>
      <c r="F22" s="95">
        <f t="shared" si="6"/>
        <v>45995</v>
      </c>
      <c r="G22" s="17"/>
      <c r="H22" s="5"/>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4">
      <c r="A23" s="13"/>
      <c r="B23" s="72"/>
      <c r="C23" s="73"/>
      <c r="D23" s="74"/>
      <c r="E23" s="75"/>
      <c r="F23" s="75"/>
      <c r="G23" s="17"/>
      <c r="H23" s="5" t="str">
        <f t="shared" si="5"/>
        <v/>
      </c>
    </row>
    <row r="24" spans="1:64" s="46" customFormat="1" ht="30" customHeight="1" thickBot="1" x14ac:dyDescent="0.4">
      <c r="A24" s="14"/>
      <c r="B24" s="76" t="s">
        <v>0</v>
      </c>
      <c r="C24" s="77"/>
      <c r="D24" s="78"/>
      <c r="E24" s="79"/>
      <c r="F24" s="80"/>
      <c r="G24" s="17"/>
      <c r="H24" s="6" t="str">
        <f t="shared" si="5"/>
        <v/>
      </c>
      <c r="I24" s="81"/>
      <c r="J24" s="81"/>
      <c r="K24" s="81"/>
      <c r="L24" s="81"/>
      <c r="M24" s="81"/>
      <c r="N24" s="81"/>
      <c r="O24" s="81"/>
      <c r="P24" s="81"/>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row>
    <row r="25" spans="1:64" ht="30" customHeight="1" x14ac:dyDescent="0.35">
      <c r="G25" s="3"/>
    </row>
    <row r="26" spans="1:64" ht="30" customHeight="1" x14ac:dyDescent="0.4">
      <c r="C26" s="16"/>
      <c r="F26" s="15"/>
    </row>
    <row r="27" spans="1:64" ht="30" customHeight="1" x14ac:dyDescent="0.35">
      <c r="C27"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24">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2">
    <cfRule type="expression" dxfId="6" priority="1">
      <formula>AND(TODAY()&gt;=I$5, TODAY()&lt;J$5)</formula>
    </cfRule>
  </conditionalFormatting>
  <conditionalFormatting sqref="I9:BL9">
    <cfRule type="expression" dxfId="5" priority="6">
      <formula>AND(task_start&lt;=I$5,ROUNDDOWN((task_end-task_start+1)*task_progress,0)+task_start-1&gt;=I$5)</formula>
    </cfRule>
    <cfRule type="expression" dxfId="4" priority="7" stopIfTrue="1">
      <formula>AND(task_end&gt;=I$5,task_start&lt;J$5)</formula>
    </cfRule>
  </conditionalFormatting>
  <conditionalFormatting sqref="I11:BL1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17:BL22">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1">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Phase 3's sample block starts in cell B20." sqref="A10" xr:uid="{956902D1-D3B5-416D-BB69-9362D193BC0A}"/>
    <dataValidation allowBlank="1" showInputMessage="1" showErrorMessage="1" prompt="Phase 4's sample block starts in cell B26." sqref="A1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4"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75" x14ac:dyDescent="0.35"/>
  <cols>
    <col min="1" max="1" width="87" style="7" customWidth="1"/>
    <col min="2" max="16384" width="9" style="1"/>
  </cols>
  <sheetData>
    <row r="1" spans="1:2" ht="46.5" customHeight="1" x14ac:dyDescent="0.35"/>
    <row r="2" spans="1:2" s="9" customFormat="1" ht="15" x14ac:dyDescent="0.35">
      <c r="A2" s="85" t="s">
        <v>8</v>
      </c>
      <c r="B2" s="8"/>
    </row>
    <row r="3" spans="1:2" s="11" customFormat="1" ht="27" customHeight="1" x14ac:dyDescent="0.35">
      <c r="A3" s="86"/>
      <c r="B3" s="12"/>
    </row>
    <row r="4" spans="1:2" s="10" customFormat="1" ht="30" x14ac:dyDescent="1.1000000000000001">
      <c r="A4" s="87" t="s">
        <v>7</v>
      </c>
    </row>
    <row r="5" spans="1:2" ht="74.25" customHeight="1" x14ac:dyDescent="0.35">
      <c r="A5" s="88" t="s">
        <v>16</v>
      </c>
    </row>
    <row r="6" spans="1:2" ht="26.25" customHeight="1" x14ac:dyDescent="0.35">
      <c r="A6" s="87" t="s">
        <v>19</v>
      </c>
    </row>
    <row r="7" spans="1:2" s="7" customFormat="1" ht="205.15" customHeight="1" x14ac:dyDescent="0.35">
      <c r="A7" s="89" t="s">
        <v>18</v>
      </c>
    </row>
    <row r="8" spans="1:2" s="10" customFormat="1" ht="30" x14ac:dyDescent="1.1000000000000001">
      <c r="A8" s="87" t="s">
        <v>9</v>
      </c>
    </row>
    <row r="9" spans="1:2" ht="40.5" x14ac:dyDescent="0.35">
      <c r="A9" s="88" t="s">
        <v>17</v>
      </c>
    </row>
    <row r="10" spans="1:2" s="7" customFormat="1" ht="28.15" customHeight="1" x14ac:dyDescent="0.35">
      <c r="A10" s="90" t="s">
        <v>15</v>
      </c>
    </row>
    <row r="11" spans="1:2" s="10" customFormat="1" ht="30" x14ac:dyDescent="1.1000000000000001">
      <c r="A11" s="87" t="s">
        <v>6</v>
      </c>
    </row>
    <row r="12" spans="1:2" ht="27" x14ac:dyDescent="0.35">
      <c r="A12" s="88" t="s">
        <v>14</v>
      </c>
    </row>
    <row r="13" spans="1:2" s="7" customFormat="1" ht="28.15" customHeight="1" x14ac:dyDescent="0.35">
      <c r="A13" s="90" t="s">
        <v>2</v>
      </c>
    </row>
    <row r="14" spans="1:2" s="10" customFormat="1" ht="30" x14ac:dyDescent="1.1000000000000001">
      <c r="A14" s="87" t="s">
        <v>10</v>
      </c>
    </row>
    <row r="15" spans="1:2" ht="75" customHeight="1" x14ac:dyDescent="0.35">
      <c r="A15" s="88" t="s">
        <v>11</v>
      </c>
    </row>
    <row r="16" spans="1:2" ht="67.5" x14ac:dyDescent="0.35">
      <c r="A16" s="88" t="s">
        <v>12</v>
      </c>
    </row>
    <row r="17" spans="1:1" x14ac:dyDescent="0.35">
      <c r="A17" s="91"/>
    </row>
    <row r="18" spans="1:1" x14ac:dyDescent="0.35">
      <c r="A18" s="91"/>
    </row>
    <row r="19" spans="1:1" x14ac:dyDescent="0.35">
      <c r="A19" s="91"/>
    </row>
    <row r="20" spans="1:1" x14ac:dyDescent="0.35">
      <c r="A20" s="91"/>
    </row>
    <row r="21" spans="1:1" x14ac:dyDescent="0.35">
      <c r="A21" s="91"/>
    </row>
    <row r="22" spans="1:1" x14ac:dyDescent="0.35">
      <c r="A22" s="91"/>
    </row>
    <row r="23" spans="1:1" x14ac:dyDescent="0.35">
      <c r="A23" s="91"/>
    </row>
    <row r="24" spans="1:1" x14ac:dyDescent="0.35">
      <c r="A24" s="91"/>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Brandon Nguyen</dc:creator>
  <dc:description/>
  <cp:lastModifiedBy>Brandon Nguyen</cp:lastModifiedBy>
  <dcterms:created xsi:type="dcterms:W3CDTF">2022-03-11T22:41:12Z</dcterms:created>
  <dcterms:modified xsi:type="dcterms:W3CDTF">2025-12-03T02:25:58Z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